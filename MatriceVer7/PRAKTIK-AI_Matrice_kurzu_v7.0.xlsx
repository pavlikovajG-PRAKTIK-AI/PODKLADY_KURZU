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3.xml" ContentType="application/vnd.openxmlformats-officedocument.spreadsheetml.comments+xml"/>
  <Override PartName="/xl/worksheets/sheet13.xml" ContentType="application/vnd.openxmlformats-officedocument.spreadsheetml.worksheet+xml"/>
  <Override PartName="/xl/comments/comment4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5.xml" ContentType="application/vnd.openxmlformats-officedocument.spreadsheetml.comments+xml"/>
  <Override PartName="/xl/worksheets/sheet17.xml" ContentType="application/vnd.openxmlformats-officedocument.spreadsheetml.worksheet+xml"/>
  <Override PartName="/xl/comments/comment6.xml" ContentType="application/vnd.openxmlformats-officedocument.spreadsheetml.comments+xml"/>
  <Override PartName="/xl/worksheets/sheet18.xml" ContentType="application/vnd.openxmlformats-officedocument.spreadsheetml.worksheet+xml"/>
  <Override PartName="/xl/comments/comment7.xml" ContentType="application/vnd.openxmlformats-officedocument.spreadsheetml.comments+xml"/>
  <Override PartName="/xl/worksheets/sheet19.xml" ContentType="application/vnd.openxmlformats-officedocument.spreadsheetml.worksheet+xml"/>
  <Override PartName="/xl/comments/comment8.xml" ContentType="application/vnd.openxmlformats-officedocument.spreadsheetml.comments+xml"/>
  <Override PartName="/xl/worksheets/sheet20.xml" ContentType="application/vnd.openxmlformats-officedocument.spreadsheetml.worksheet+xml"/>
  <Override PartName="/xl/comments/comment9.xml" ContentType="application/vnd.openxmlformats-officedocument.spreadsheetml.comments+xml"/>
  <Override PartName="/xl/worksheets/sheet21.xml" ContentType="application/vnd.openxmlformats-officedocument.spreadsheetml.worksheet+xml"/>
  <Override PartName="/xl/comments/comment10.xml" ContentType="application/vnd.openxmlformats-officedocument.spreadsheetml.comments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_Návod" sheetId="1" state="visible" r:id="rId1"/>
    <sheet xmlns:r="http://schemas.openxmlformats.org/officeDocument/2006/relationships" name="1_Identifikace" sheetId="2" state="visible" r:id="rId2"/>
    <sheet xmlns:r="http://schemas.openxmlformats.org/officeDocument/2006/relationships" name="2_GOALS" sheetId="3" state="visible" r:id="rId3"/>
    <sheet xmlns:r="http://schemas.openxmlformats.org/officeDocument/2006/relationships" name="3_OBJECTIVES" sheetId="4" state="visible" r:id="rId4"/>
    <sheet xmlns:r="http://schemas.openxmlformats.org/officeDocument/2006/relationships" name="4_Vetveni" sheetId="5" state="visible" r:id="rId5"/>
    <sheet xmlns:r="http://schemas.openxmlformats.org/officeDocument/2006/relationships" name="5_Neuroved_kurz" sheetId="6" state="visible" r:id="rId6"/>
    <sheet xmlns:r="http://schemas.openxmlformats.org/officeDocument/2006/relationships" name="6_AI_principy" sheetId="7" state="visible" r:id="rId7"/>
    <sheet xmlns:r="http://schemas.openxmlformats.org/officeDocument/2006/relationships" name="7_KRAUU_kurz" sheetId="8" state="visible" r:id="rId8"/>
    <sheet xmlns:r="http://schemas.openxmlformats.org/officeDocument/2006/relationships" name="8_Vzory_antipatterns" sheetId="9" state="visible" r:id="rId9"/>
    <sheet xmlns:r="http://schemas.openxmlformats.org/officeDocument/2006/relationships" name="9_Artefakt" sheetId="10" state="visible" r:id="rId10"/>
    <sheet xmlns:r="http://schemas.openxmlformats.org/officeDocument/2006/relationships" name="10_Medialni_prilohy" sheetId="11" state="visible" r:id="rId11"/>
    <sheet xmlns:r="http://schemas.openxmlformats.org/officeDocument/2006/relationships" name="11_Rubrika" sheetId="12" state="visible" r:id="rId12"/>
    <sheet xmlns:r="http://schemas.openxmlformats.org/officeDocument/2006/relationships" name="12_Vyzkum" sheetId="13" state="visible" r:id="rId13"/>
    <sheet xmlns:r="http://schemas.openxmlformats.org/officeDocument/2006/relationships" name="13_Validace" sheetId="14" state="visible" r:id="rId14"/>
    <sheet xmlns:r="http://schemas.openxmlformats.org/officeDocument/2006/relationships" name="14_Zdroje" sheetId="15" state="visible" r:id="rId15"/>
    <sheet xmlns:r="http://schemas.openxmlformats.org/officeDocument/2006/relationships" name="M1" sheetId="16" state="visible" r:id="rId16"/>
    <sheet xmlns:r="http://schemas.openxmlformats.org/officeDocument/2006/relationships" name="M2" sheetId="17" state="visible" r:id="rId17"/>
    <sheet xmlns:r="http://schemas.openxmlformats.org/officeDocument/2006/relationships" name="M3" sheetId="18" state="visible" r:id="rId18"/>
    <sheet xmlns:r="http://schemas.openxmlformats.org/officeDocument/2006/relationships" name="M4" sheetId="19" state="visible" r:id="rId19"/>
    <sheet xmlns:r="http://schemas.openxmlformats.org/officeDocument/2006/relationships" name="M5" sheetId="20" state="visible" r:id="rId20"/>
    <sheet xmlns:r="http://schemas.openxmlformats.org/officeDocument/2006/relationships" name="Capstone" sheetId="21" state="visible" r:id="rId21"/>
    <sheet xmlns:r="http://schemas.openxmlformats.org/officeDocument/2006/relationships" name="CIS_Neuroveda" sheetId="22" state="visible" r:id="rId22"/>
    <sheet xmlns:r="http://schemas.openxmlformats.org/officeDocument/2006/relationships" name="CIS_Formaty" sheetId="23" state="visible" r:id="rId23"/>
    <sheet xmlns:r="http://schemas.openxmlformats.org/officeDocument/2006/relationships" name="CIS_Skupiny" sheetId="24" state="visible" r:id="rId24"/>
    <sheet xmlns:r="http://schemas.openxmlformats.org/officeDocument/2006/relationships" name="CIS_Urovne" sheetId="25" state="visible" r:id="rId25"/>
    <sheet xmlns:r="http://schemas.openxmlformats.org/officeDocument/2006/relationships" name="CIS_KRAUU" sheetId="26" state="visible" r:id="rId26"/>
    <sheet xmlns:r="http://schemas.openxmlformats.org/officeDocument/2006/relationships" name="CIS_Bloom" sheetId="27" state="visible" r:id="rId27"/>
    <sheet xmlns:r="http://schemas.openxmlformats.org/officeDocument/2006/relationships" name="CIS_Role" sheetId="28" state="visible" r:id="rId28"/>
    <sheet xmlns:r="http://schemas.openxmlformats.org/officeDocument/2006/relationships" name="CIS_Pojmy" sheetId="29" state="visible" r:id="rId2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1F4E79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808080"/>
      <sz val="9"/>
    </font>
    <font>
      <name val="Arial"/>
      <family val="2"/>
      <sz val="10"/>
    </font>
    <font>
      <b val="1"/>
      <color rgb="FFFFFFFF"/>
    </font>
    <font>
      <b val="1"/>
    </font>
  </fonts>
  <fills count="10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E2EFDA"/>
        <bgColor rgb="FFF2F2F2"/>
      </patternFill>
    </fill>
    <fill>
      <patternFill patternType="solid">
        <fgColor rgb="FF1F4E79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/>
    </xf>
    <xf numFmtId="0" fontId="7" fillId="5" borderId="2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7" fillId="8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/>
    </xf>
    <xf numFmtId="0" fontId="7" fillId="5" borderId="2" applyAlignment="1" pivotButton="0" quotePrefix="0" xfId="0">
      <alignment horizontal="left" vertical="top" wrapText="1"/>
    </xf>
    <xf numFmtId="0" fontId="0" fillId="0" borderId="4" pivotButton="0" quotePrefix="0" xfId="0"/>
    <xf numFmtId="0" fontId="0" fillId="5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0" fillId="5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5" borderId="2" applyAlignment="1" pivotButton="0" quotePrefix="0" xfId="0">
      <alignment horizontal="general" vertical="bottom"/>
    </xf>
    <xf numFmtId="0" fontId="6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7" fillId="8" borderId="1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omments/comment1.xml><?xml version="1.0" encoding="utf-8"?>
<comments xmlns="http://schemas.openxmlformats.org/spreadsheetml/2006/main">
  <authors>
    <author>Unknown Author</author>
    <author>PRAKTIK-AI v7</author>
  </authors>
  <commentList>
    <comment ref="B5" authorId="0" shapeId="0">
      <text>
        <t>např. A0101 — písmeno + 4 číslice. Unikátní v DB.</t>
      </text>
    </comment>
    <comment ref="B6" authorId="0" shapeId="0">
      <text>
        <t>např. A1, B2, C1.1 — vidí účastník</t>
      </text>
    </comment>
    <comment ref="B7" authorId="0" shapeId="0">
      <text>
        <t>např. ai-jak-funguje — bez diakritiky, pomlčky místo mezer</t>
      </text>
    </comment>
    <comment ref="B8" authorId="0" shapeId="0">
      <text>
        <t>celý název pro certifikát UJEP</t>
      </text>
    </comment>
    <comment ref="B9" authorId="0" shapeId="0">
      <text>
        <t>pojmenovaná bolest praxe — 1–2 věty</t>
      </text>
    </comment>
    <comment ref="B10" authorId="0" shapeId="0">
      <text>
        <t>jeden konkrétní artefakt — podrobně viz list 9_Artefakt</t>
      </text>
    </comment>
    <comment ref="B13" authorId="0" shapeId="0">
      <text>
        <t>A / B / C</t>
      </text>
    </comment>
    <comment ref="B14" authorId="0" shapeId="0">
      <text>
        <t>v1 / v2 / v3</t>
      </text>
    </comment>
    <comment ref="B15" authorId="0" shapeId="0">
      <text>
        <t>číslo</t>
      </text>
    </comment>
    <comment ref="B16" authorId="1" shapeId="0">
      <text>
        <t>Úroveň zkušenosti účastníka s AI (ne odbornosti v oboru): Začátečník / Středně pokročilý / Pokročilý. Převod na platformu viz 1.8 a CIS_Urovne.</t>
      </text>
    </comment>
    <comment ref="B17" authorId="0" shapeId="0">
      <text>
        <t>povinný pro všechny / doporučený základ / volitelný</t>
      </text>
    </comment>
    <comment ref="B18" authorId="0" shapeId="0">
      <text>
        <t>6 / 7 / 8 nebo rozsah (např. 6–8)</t>
      </text>
    </comment>
    <comment ref="B19" authorId="0" shapeId="0">
      <text>
        <t>1 ECTS = 25–30 h, např. 0.10</t>
      </text>
    </comment>
    <comment ref="B20" authorId="0" shapeId="0">
      <text>
        <t>kódy kurzů oddělené čárkou nebo 'žádné'</t>
      </text>
    </comment>
    <comment ref="B21" authorId="0" shapeId="0">
      <text>
        <t>kódy kurzů oddělené čárkou nebo 'žádné'</t>
      </text>
    </comment>
    <comment ref="B29" authorId="0" shapeId="0">
      <text>
        <t>2–3 věty kontextu pro uživatele — vykání, bez KRAUU. Zobrazí se jako první v kurzu.</t>
      </text>
    </comment>
    <comment ref="B30" authorId="0" shapeId="0">
      <text>
        <t>co kurz předpokládá, pro koho je vhodný, jak navazuje na jiné kurzy</t>
      </text>
    </comment>
    <comment ref="B33" authorId="0" shapeId="0">
      <text>
        <t>ano / ne</t>
      </text>
    </comment>
    <comment ref="B34" authorId="0" shapeId="0">
      <text>
        <t>celkový test před kurzem / test konkrétních modulů</t>
      </text>
    </comment>
    <comment ref="B35" authorId="0" shapeId="0">
      <text>
        <t>80 — závazná hodnota platformy</t>
      </text>
    </comment>
    <comment ref="B36" authorId="0" shapeId="0">
      <text>
        <t>přesměrování na moduly s mezerami / celý kurz povinný</t>
      </text>
    </comment>
    <comment ref="B41" authorId="0" shapeId="0">
      <text>
        <t>volitelně — co ke stylu upřesnit pro tento kurz</t>
      </text>
    </comment>
    <comment ref="B42" authorId="0" shapeId="0">
      <text>
        <t>např. 5 min F1 / 8 min F2 / 4 min F3 / 8 min F4</t>
      </text>
    </comment>
    <comment ref="B45" authorId="0" shapeId="0">
      <text>
        <t>Absolvent prokazuje… (souhrnný popis GOALS, max. 3–4 věty)</t>
      </text>
    </comment>
    <comment ref="A48" authorId="1" shapeId="0">
      <text>
        <t>X = kurz je určen i této skupině. Definice skupin, které čte generátor, viz list CIS_Skupiny.</t>
      </text>
    </comment>
    <comment ref="B50" authorId="1" shapeId="0">
      <text>
        <t>číslo 1–5 (listy M1–M5)</t>
      </text>
    </comment>
    <comment ref="B51" authorId="1" shapeId="0">
      <text>
        <t>vypočteno: Délka celkem / Počet modulů</t>
      </text>
    </comment>
    <comment ref="B52" authorId="1" shapeId="0">
      <text>
        <t>převod úrovně 1.2 na profil promptů generátoru</t>
      </text>
    </comment>
    <comment ref="B53" authorId="1" shapeId="0">
      <text>
        <t>Text do pole Popis kurzu na platformě: témata a výstup kurzu, vykání, max. 500 znaků, bez slibu času. Generátor ho čte jako POPIS.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B5" authorId="0" shapeId="0">
      <text>
        <t>strukturované srovnání / rubrika / plán / scénář / dopis / jiné</t>
      </text>
    </comment>
    <comment ref="B6" authorId="0" shapeId="0">
      <text>
        <t>povinné části nebo sekce</t>
      </text>
    </comment>
    <comment ref="B7" authorId="0" shapeId="0">
      <text>
        <t>nepřijatelné formy nebo zkratky</t>
      </text>
    </comment>
    <comment ref="B8" authorId="0" shapeId="0">
      <text>
        <t>docx / xlsx / pdf / jiné</t>
      </text>
    </comment>
    <comment ref="B9" authorId="0" shapeId="0">
      <text>
        <t>ano / ne</t>
      </text>
    </comment>
    <comment ref="B10" authorId="0" shapeId="0">
      <text>
        <t>splnění finálního ověření ≥ 75 % + odevzdání artefaktu</t>
      </text>
    </comment>
    <comment ref="B11" authorId="0" shapeId="0">
      <text>
        <t>název mikrocertifikátu bloku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B5" authorId="0" shapeId="0">
      <text>
        <t>Hodnocení artefaktu / Výsledky kurzu (sebehodnocení)</t>
      </text>
    </comment>
    <comment ref="B6" authorId="0" shapeId="0">
      <text>
        <t>Uživatel / Lektor / Garant / AI / Kombinace</t>
      </text>
    </comment>
    <comment ref="B7" authorId="0" shapeId="0">
      <text>
        <t>75 — závazná hodnota platformy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B4" authorId="0" shapeId="0">
      <text>
        <t>volitelné — napište nebo nechte prázdné</t>
      </text>
    </comment>
    <comment ref="B5" authorId="0" shapeId="0">
      <text>
        <t>ano / ne</t>
      </text>
    </comment>
    <comment ref="B6" authorId="0" shapeId="0">
      <text>
        <t>ano / ne</t>
      </text>
    </comment>
    <comment ref="B7" authorId="0" shapeId="0">
      <text>
        <t>ano / ne (volitelné pro uživatele)</t>
      </text>
    </comment>
  </commentList>
</comments>
</file>

<file path=xl/comments/comment5.xml><?xml version="1.0" encoding="utf-8"?>
<comments xmlns="http://schemas.openxmlformats.org/spreadsheetml/2006/main">
  <authors>
    <author>Unknown Author</author>
    <author>PRAKTIK-AI v7</author>
  </authors>
  <commentList>
    <comment ref="B4" authorId="0" shapeId="0">
      <text>
        <t>název modulu</t>
      </text>
    </comment>
    <comment ref="B5" authorId="1" shapeId="0">
      <text>
        <t>Součet F1–F4. Obvykle 15–25 min, tvrdý strop 30 min.</t>
      </text>
    </comment>
    <comment ref="B6" authorId="0" shapeId="0">
      <text>
        <t>1 věta nebo otázka, která vtáhne uživatele do tématu — překvapivý výsledek / mýtus / problémová situace / provokativní otázka</t>
      </text>
    </comment>
    <comment ref="B7" authorId="0" shapeId="0">
      <text>
        <t>ID z listu 3_OBJECTIVES, oddělená čárkou</t>
      </text>
    </comment>
    <comment ref="B8" authorId="0" shapeId="0">
      <text>
        <t>ano / ne</t>
      </text>
    </comment>
    <comment ref="B9" authorId="0" shapeId="0">
      <text>
        <t>úroveň Bloom z 2_GOALS + popis, kterou část artefaktu F4 produkuje</t>
      </text>
    </comment>
    <comment ref="B10" authorId="0" shapeId="0">
      <text>
        <t>volitelné — jak se obsah liší dle role (akademik / mentor / student učitelství)</t>
      </text>
    </comment>
    <comment ref="B13" authorId="1" shapeId="0">
      <text>
        <t>5–10 min. Začátečník 5–6, Středně pokročilý 7–8, Pokročilý 9–10 (vyšší hodnota u témat s vysokou náročností). Viz CIS_Urovne a řádek „Orientační rozsah F1".</t>
      </text>
    </comment>
    <comment ref="B14" authorId="0" shapeId="0">
      <text>
        <t>teorie, ozdrojovaný obsah, diferenciace dle role</t>
      </text>
    </comment>
    <comment ref="B17" authorId="0" shapeId="0">
      <text>
        <t>číslo</t>
      </text>
    </comment>
    <comment ref="B18" authorId="0" shapeId="0">
      <text>
        <t>kód formátu (např. FMT-MCQ) — viz list CIS_Formaty</t>
      </text>
    </comment>
    <comment ref="B19" authorId="0" shapeId="0">
      <text>
        <t>přesné znění otázek nebo instrukce</t>
      </text>
    </comment>
    <comment ref="B22" authorId="0" shapeId="0">
      <text>
        <t>číslo</t>
      </text>
    </comment>
    <comment ref="B23" authorId="0" shapeId="0">
      <text>
        <t>kód formátu (např. FMT-MCQ) — viz list CIS_Formaty</t>
      </text>
    </comment>
    <comment ref="B24" authorId="0" shapeId="0">
      <text>
        <t>přesné znění otázek nebo instrukce</t>
      </text>
    </comment>
    <comment ref="B27" authorId="0" shapeId="0">
      <text>
        <t>číslo</t>
      </text>
    </comment>
    <comment ref="B28" authorId="0" shapeId="0">
      <text>
        <t>dílčí úsek finálního artefaktu — konkrétní výstup</t>
      </text>
    </comment>
    <comment ref="B31" authorId="0" shapeId="0">
      <text>
        <t>např. NP-03, NP-04, NP-18 — oddělené čárkou</t>
      </text>
    </comment>
    <comment ref="B32" authorId="0" shapeId="0">
      <text>
        <t>např. F2: NP-04 — zadání je záměrně obtížnější, než lze zvládnout s AI samotnou</t>
      </text>
    </comment>
    <comment ref="B35" authorId="0" shapeId="0">
      <text>
        <t>kód formátu z CIS_Formaty</t>
      </text>
    </comment>
    <comment ref="B36" authorId="0" shapeId="0">
      <text>
        <t>přesné znění nebo instrukce</t>
      </text>
    </comment>
    <comment ref="B37" authorId="0" shapeId="0">
      <text>
        <t>AI / Lektor / Garant / Uživatel (sebehodnocení) / Kombinace</t>
      </text>
    </comment>
    <comment ref="B40" authorId="1" shapeId="0">
      <text>
        <t>nízká = nejvýše 2 nové pojmy, známé situace · střední = 3–4 pojmy nebo 1 abstraktní princip · vysoká = 5+ pojmů, abstraktní model, právní či výzkumný rámec</t>
      </text>
    </comment>
    <comment ref="B41" authorId="1" shapeId="0">
      <text>
        <t>podle úrovně (1_Identifikace 1.2) a náročnosti tématu; 130 slov/min</t>
      </text>
    </comment>
    <comment ref="B42" authorId="1" shapeId="0">
      <text>
        <t>F1 + F2 + F3 + F4 musí dát délku modulu</t>
      </text>
    </comment>
    <comment ref="B43" authorId="1" shapeId="0">
      <text>
        <t>Problémy, které generátor nahlásil na první řádce modulu (⚠ PRO METODIKA), nebo které našel metodik: typ – popis – řešení. Před schválením kurzu musí být vyřešené a pole prázdné.</t>
      </text>
    </comment>
  </commentList>
</comments>
</file>

<file path=xl/comments/comment6.xml><?xml version="1.0" encoding="utf-8"?>
<comments xmlns="http://schemas.openxmlformats.org/spreadsheetml/2006/main">
  <authors>
    <author>Unknown Author</author>
    <author>PRAKTIK-AI v7</author>
  </authors>
  <commentList>
    <comment ref="B4" authorId="0" shapeId="0">
      <text>
        <t>název modulu</t>
      </text>
    </comment>
    <comment ref="B5" authorId="1" shapeId="0">
      <text>
        <t>Součet F1–F4. Obvykle 15–25 min, tvrdý strop 30 min.</t>
      </text>
    </comment>
    <comment ref="B6" authorId="0" shapeId="0">
      <text>
        <t>1 věta nebo otázka, která vtáhne uživatele do tématu — překvapivý výsledek / mýtus / problémová situace / provokativní otázka</t>
      </text>
    </comment>
    <comment ref="B7" authorId="0" shapeId="0">
      <text>
        <t>ID z listu 3_OBJECTIVES, oddělená čárkou</t>
      </text>
    </comment>
    <comment ref="B8" authorId="0" shapeId="0">
      <text>
        <t>ano / ne</t>
      </text>
    </comment>
    <comment ref="B9" authorId="0" shapeId="0">
      <text>
        <t>úroveň Bloom z 2_GOALS + popis, kterou část artefaktu F4 produkuje</t>
      </text>
    </comment>
    <comment ref="B10" authorId="0" shapeId="0">
      <text>
        <t>volitelné — jak se obsah liší dle role (akademik / mentor / student učitelství)</t>
      </text>
    </comment>
    <comment ref="B13" authorId="1" shapeId="0">
      <text>
        <t>5–10 min. Začátečník 5–6, Středně pokročilý 7–8, Pokročilý 9–10 (vyšší hodnota u témat s vysokou náročností). Viz CIS_Urovne a řádek „Orientační rozsah F1".</t>
      </text>
    </comment>
    <comment ref="B14" authorId="0" shapeId="0">
      <text>
        <t>teorie, ozdrojovaný obsah, diferenciace dle role</t>
      </text>
    </comment>
    <comment ref="B17" authorId="0" shapeId="0">
      <text>
        <t>číslo</t>
      </text>
    </comment>
    <comment ref="B18" authorId="0" shapeId="0">
      <text>
        <t>kód formátu (např. FMT-MCQ) — viz list CIS_Formaty</t>
      </text>
    </comment>
    <comment ref="B19" authorId="0" shapeId="0">
      <text>
        <t>přesné znění otázek nebo instrukce</t>
      </text>
    </comment>
    <comment ref="B22" authorId="0" shapeId="0">
      <text>
        <t>číslo</t>
      </text>
    </comment>
    <comment ref="B23" authorId="0" shapeId="0">
      <text>
        <t>kód formátu (např. FMT-MCQ) — viz list CIS_Formaty</t>
      </text>
    </comment>
    <comment ref="B24" authorId="0" shapeId="0">
      <text>
        <t>přesné znění otázek nebo instrukce</t>
      </text>
    </comment>
    <comment ref="B27" authorId="0" shapeId="0">
      <text>
        <t>číslo</t>
      </text>
    </comment>
    <comment ref="B28" authorId="0" shapeId="0">
      <text>
        <t>dílčí úsek finálního artefaktu — konkrétní výstup</t>
      </text>
    </comment>
    <comment ref="B31" authorId="0" shapeId="0">
      <text>
        <t>např. NP-03, NP-04, NP-18 — oddělené čárkou</t>
      </text>
    </comment>
    <comment ref="B32" authorId="0" shapeId="0">
      <text>
        <t>např. F2: NP-04 — zadání je záměrně obtížnější, než lze zvládnout s AI samotnou</t>
      </text>
    </comment>
    <comment ref="B35" authorId="0" shapeId="0">
      <text>
        <t>kód formátu z CIS_Formaty</t>
      </text>
    </comment>
    <comment ref="B36" authorId="0" shapeId="0">
      <text>
        <t>přesné znění nebo instrukce</t>
      </text>
    </comment>
    <comment ref="B37" authorId="0" shapeId="0">
      <text>
        <t>AI / Lektor / Garant / Uživatel (sebehodnocení) / Kombinace</t>
      </text>
    </comment>
    <comment ref="B40" authorId="1" shapeId="0">
      <text>
        <t>nízká = nejvýše 2 nové pojmy, známé situace · střední = 3–4 pojmy nebo 1 abstraktní princip · vysoká = 5+ pojmů, abstraktní model, právní či výzkumný rámec</t>
      </text>
    </comment>
    <comment ref="B41" authorId="1" shapeId="0">
      <text>
        <t>podle úrovně (1_Identifikace 1.2) a náročnosti tématu; 130 slov/min</t>
      </text>
    </comment>
    <comment ref="B42" authorId="1" shapeId="0">
      <text>
        <t>F1 + F2 + F3 + F4 musí dát délku modulu</t>
      </text>
    </comment>
    <comment ref="B43" authorId="1" shapeId="0">
      <text>
        <t>Problémy, které generátor nahlásil na první řádce modulu (⚠ PRO METODIKA), nebo které našel metodik: typ – popis – řešení. Před schválením kurzu musí být vyřešené a pole prázdné.</t>
      </text>
    </comment>
  </commentList>
</comments>
</file>

<file path=xl/comments/comment7.xml><?xml version="1.0" encoding="utf-8"?>
<comments xmlns="http://schemas.openxmlformats.org/spreadsheetml/2006/main">
  <authors>
    <author>Unknown Author</author>
    <author>PRAKTIK-AI v7</author>
  </authors>
  <commentList>
    <comment ref="B4" authorId="0" shapeId="0">
      <text>
        <t>název modulu</t>
      </text>
    </comment>
    <comment ref="B5" authorId="1" shapeId="0">
      <text>
        <t>Součet F1–F4. Obvykle 15–25 min, tvrdý strop 30 min.</t>
      </text>
    </comment>
    <comment ref="B6" authorId="0" shapeId="0">
      <text>
        <t>1 věta nebo otázka, která vtáhne uživatele do tématu — překvapivý výsledek / mýtus / problémová situace / provokativní otázka</t>
      </text>
    </comment>
    <comment ref="B7" authorId="0" shapeId="0">
      <text>
        <t>ID z listu 3_OBJECTIVES, oddělená čárkou</t>
      </text>
    </comment>
    <comment ref="B8" authorId="0" shapeId="0">
      <text>
        <t>ano / ne</t>
      </text>
    </comment>
    <comment ref="B9" authorId="0" shapeId="0">
      <text>
        <t>úroveň Bloom z 2_GOALS + popis, kterou část artefaktu F4 produkuje</t>
      </text>
    </comment>
    <comment ref="B10" authorId="0" shapeId="0">
      <text>
        <t>volitelné — jak se obsah liší dle role (akademik / mentor / student učitelství)</t>
      </text>
    </comment>
    <comment ref="B13" authorId="1" shapeId="0">
      <text>
        <t>5–10 min. Začátečník 5–6, Středně pokročilý 7–8, Pokročilý 9–10 (vyšší hodnota u témat s vysokou náročností). Viz CIS_Urovne a řádek „Orientační rozsah F1".</t>
      </text>
    </comment>
    <comment ref="B14" authorId="0" shapeId="0">
      <text>
        <t>teorie, ozdrojovaný obsah, diferenciace dle role</t>
      </text>
    </comment>
    <comment ref="B17" authorId="0" shapeId="0">
      <text>
        <t>číslo</t>
      </text>
    </comment>
    <comment ref="B18" authorId="0" shapeId="0">
      <text>
        <t>kód formátu (např. FMT-MCQ) — viz list CIS_Formaty</t>
      </text>
    </comment>
    <comment ref="B19" authorId="0" shapeId="0">
      <text>
        <t>přesné znění otázek nebo instrukce</t>
      </text>
    </comment>
    <comment ref="B22" authorId="0" shapeId="0">
      <text>
        <t>číslo</t>
      </text>
    </comment>
    <comment ref="B23" authorId="0" shapeId="0">
      <text>
        <t>kód formátu (např. FMT-MCQ) — viz list CIS_Formaty</t>
      </text>
    </comment>
    <comment ref="B24" authorId="0" shapeId="0">
      <text>
        <t>přesné znění otázek nebo instrukce</t>
      </text>
    </comment>
    <comment ref="B27" authorId="0" shapeId="0">
      <text>
        <t>číslo</t>
      </text>
    </comment>
    <comment ref="B28" authorId="0" shapeId="0">
      <text>
        <t>dílčí úsek finálního artefaktu — konkrétní výstup</t>
      </text>
    </comment>
    <comment ref="B31" authorId="0" shapeId="0">
      <text>
        <t>např. NP-03, NP-04, NP-18 — oddělené čárkou</t>
      </text>
    </comment>
    <comment ref="B32" authorId="0" shapeId="0">
      <text>
        <t>např. F2: NP-04 — zadání je záměrně obtížnější, než lze zvládnout s AI samotnou</t>
      </text>
    </comment>
    <comment ref="B35" authorId="0" shapeId="0">
      <text>
        <t>kód formátu z CIS_Formaty</t>
      </text>
    </comment>
    <comment ref="B36" authorId="0" shapeId="0">
      <text>
        <t>přesné znění nebo instrukce</t>
      </text>
    </comment>
    <comment ref="B37" authorId="0" shapeId="0">
      <text>
        <t>AI / Lektor / Garant / Uživatel (sebehodnocení) / Kombinace</t>
      </text>
    </comment>
    <comment ref="B40" authorId="1" shapeId="0">
      <text>
        <t>nízká = nejvýše 2 nové pojmy, známé situace · střední = 3–4 pojmy nebo 1 abstraktní princip · vysoká = 5+ pojmů, abstraktní model, právní či výzkumný rámec</t>
      </text>
    </comment>
    <comment ref="B41" authorId="1" shapeId="0">
      <text>
        <t>podle úrovně (1_Identifikace 1.2) a náročnosti tématu; 130 slov/min</t>
      </text>
    </comment>
    <comment ref="B42" authorId="1" shapeId="0">
      <text>
        <t>F1 + F2 + F3 + F4 musí dát délku modulu</t>
      </text>
    </comment>
    <comment ref="B43" authorId="1" shapeId="0">
      <text>
        <t>Problémy, které generátor nahlásil na první řádce modulu (⚠ PRO METODIKA), nebo které našel metodik: typ – popis – řešení. Před schválením kurzu musí být vyřešené a pole prázdné.</t>
      </text>
    </comment>
  </commentList>
</comments>
</file>

<file path=xl/comments/comment8.xml><?xml version="1.0" encoding="utf-8"?>
<comments xmlns="http://schemas.openxmlformats.org/spreadsheetml/2006/main">
  <authors>
    <author>Unknown Author</author>
    <author>PRAKTIK-AI v7</author>
  </authors>
  <commentList>
    <comment ref="B4" authorId="0" shapeId="0">
      <text>
        <t>název modulu</t>
      </text>
    </comment>
    <comment ref="B5" authorId="1" shapeId="0">
      <text>
        <t>Součet F1–F4. Obvykle 15–25 min, tvrdý strop 30 min.</t>
      </text>
    </comment>
    <comment ref="B6" authorId="0" shapeId="0">
      <text>
        <t>1 věta nebo otázka, která vtáhne uživatele do tématu — překvapivý výsledek / mýtus / problémová situace / provokativní otázka</t>
      </text>
    </comment>
    <comment ref="B7" authorId="0" shapeId="0">
      <text>
        <t>ID z listu 3_OBJECTIVES, oddělená čárkou</t>
      </text>
    </comment>
    <comment ref="B8" authorId="0" shapeId="0">
      <text>
        <t>ano / ne</t>
      </text>
    </comment>
    <comment ref="B9" authorId="0" shapeId="0">
      <text>
        <t>úroveň Bloom z 2_GOALS + popis, kterou část artefaktu F4 produkuje</t>
      </text>
    </comment>
    <comment ref="B10" authorId="0" shapeId="0">
      <text>
        <t>volitelné — jak se obsah liší dle role (akademik / mentor / student učitelství)</t>
      </text>
    </comment>
    <comment ref="B13" authorId="1" shapeId="0">
      <text>
        <t>5–10 min. Začátečník 5–6, Středně pokročilý 7–8, Pokročilý 9–10 (vyšší hodnota u témat s vysokou náročností). Viz CIS_Urovne a řádek „Orientační rozsah F1".</t>
      </text>
    </comment>
    <comment ref="B14" authorId="0" shapeId="0">
      <text>
        <t>teorie, ozdrojovaný obsah, diferenciace dle role</t>
      </text>
    </comment>
    <comment ref="B17" authorId="0" shapeId="0">
      <text>
        <t>číslo</t>
      </text>
    </comment>
    <comment ref="B18" authorId="0" shapeId="0">
      <text>
        <t>kód formátu (např. FMT-MCQ) — viz list CIS_Formaty</t>
      </text>
    </comment>
    <comment ref="B19" authorId="0" shapeId="0">
      <text>
        <t>přesné znění otázek nebo instrukce</t>
      </text>
    </comment>
    <comment ref="B22" authorId="0" shapeId="0">
      <text>
        <t>číslo</t>
      </text>
    </comment>
    <comment ref="B23" authorId="0" shapeId="0">
      <text>
        <t>kód formátu (např. FMT-MCQ) — viz list CIS_Formaty</t>
      </text>
    </comment>
    <comment ref="B24" authorId="0" shapeId="0">
      <text>
        <t>přesné znění otázek nebo instrukce</t>
      </text>
    </comment>
    <comment ref="B27" authorId="0" shapeId="0">
      <text>
        <t>číslo</t>
      </text>
    </comment>
    <comment ref="B28" authorId="0" shapeId="0">
      <text>
        <t>dílčí úsek finálního artefaktu — konkrétní výstup</t>
      </text>
    </comment>
    <comment ref="B31" authorId="0" shapeId="0">
      <text>
        <t>např. NP-03, NP-04, NP-18 — oddělené čárkou</t>
      </text>
    </comment>
    <comment ref="B32" authorId="0" shapeId="0">
      <text>
        <t>např. F2: NP-04 — zadání je záměrně obtížnější, než lze zvládnout s AI samotnou</t>
      </text>
    </comment>
    <comment ref="B35" authorId="0" shapeId="0">
      <text>
        <t>kód formátu z CIS_Formaty</t>
      </text>
    </comment>
    <comment ref="B36" authorId="0" shapeId="0">
      <text>
        <t>přesné znění nebo instrukce</t>
      </text>
    </comment>
    <comment ref="B37" authorId="0" shapeId="0">
      <text>
        <t>AI / Lektor / Garant / Uživatel (sebehodnocení) / Kombinace</t>
      </text>
    </comment>
    <comment ref="B40" authorId="1" shapeId="0">
      <text>
        <t>nízká = nejvýše 2 nové pojmy, známé situace · střední = 3–4 pojmy nebo 1 abstraktní princip · vysoká = 5+ pojmů, abstraktní model, právní či výzkumný rámec</t>
      </text>
    </comment>
    <comment ref="B41" authorId="1" shapeId="0">
      <text>
        <t>podle úrovně (1_Identifikace 1.2) a náročnosti tématu; 130 slov/min</t>
      </text>
    </comment>
    <comment ref="B42" authorId="1" shapeId="0">
      <text>
        <t>F1 + F2 + F3 + F4 musí dát délku modulu</t>
      </text>
    </comment>
    <comment ref="B43" authorId="1" shapeId="0">
      <text>
        <t>Problémy, které generátor nahlásil na první řádce modulu (⚠ PRO METODIKA), nebo které našel metodik: typ – popis – řešení. Před schválením kurzu musí být vyřešené a pole prázdné.</t>
      </text>
    </comment>
  </commentList>
</comments>
</file>

<file path=xl/comments/comment9.xml><?xml version="1.0" encoding="utf-8"?>
<comments xmlns="http://schemas.openxmlformats.org/spreadsheetml/2006/main">
  <authors>
    <author>Unknown Author</author>
    <author>PRAKTIK-AI v7</author>
  </authors>
  <commentList>
    <comment ref="B4" authorId="0" shapeId="0">
      <text>
        <t>název modulu</t>
      </text>
    </comment>
    <comment ref="B5" authorId="1" shapeId="0">
      <text>
        <t>Součet F1–F4. Obvykle 15–25 min, tvrdý strop 30 min.</t>
      </text>
    </comment>
    <comment ref="B6" authorId="0" shapeId="0">
      <text>
        <t>1 věta nebo otázka, která vtáhne uživatele do tématu — překvapivý výsledek / mýtus / problémová situace / provokativní otázka</t>
      </text>
    </comment>
    <comment ref="B7" authorId="0" shapeId="0">
      <text>
        <t>ID z listu 3_OBJECTIVES, oddělená čárkou</t>
      </text>
    </comment>
    <comment ref="B8" authorId="0" shapeId="0">
      <text>
        <t>ano / ne</t>
      </text>
    </comment>
    <comment ref="B9" authorId="0" shapeId="0">
      <text>
        <t>úroveň Bloom z 2_GOALS + popis, kterou část artefaktu F4 produkuje</t>
      </text>
    </comment>
    <comment ref="B10" authorId="0" shapeId="0">
      <text>
        <t>volitelné — jak se obsah liší dle role (akademik / mentor / student učitelství)</t>
      </text>
    </comment>
    <comment ref="B13" authorId="1" shapeId="0">
      <text>
        <t>5–10 min. Začátečník 5–6, Středně pokročilý 7–8, Pokročilý 9–10 (vyšší hodnota u témat s vysokou náročností). Viz CIS_Urovne a řádek „Orientační rozsah F1".</t>
      </text>
    </comment>
    <comment ref="B14" authorId="0" shapeId="0">
      <text>
        <t>teorie, ozdrojovaný obsah, diferenciace dle role</t>
      </text>
    </comment>
    <comment ref="B17" authorId="0" shapeId="0">
      <text>
        <t>číslo</t>
      </text>
    </comment>
    <comment ref="B18" authorId="0" shapeId="0">
      <text>
        <t>kód formátu (např. FMT-MCQ) — viz list CIS_Formaty</t>
      </text>
    </comment>
    <comment ref="B19" authorId="0" shapeId="0">
      <text>
        <t>přesné znění otázek nebo instrukce</t>
      </text>
    </comment>
    <comment ref="B22" authorId="0" shapeId="0">
      <text>
        <t>číslo</t>
      </text>
    </comment>
    <comment ref="B23" authorId="0" shapeId="0">
      <text>
        <t>kód formátu (např. FMT-MCQ) — viz list CIS_Formaty</t>
      </text>
    </comment>
    <comment ref="B24" authorId="0" shapeId="0">
      <text>
        <t>přesné znění otázek nebo instrukce</t>
      </text>
    </comment>
    <comment ref="B27" authorId="0" shapeId="0">
      <text>
        <t>číslo</t>
      </text>
    </comment>
    <comment ref="B28" authorId="0" shapeId="0">
      <text>
        <t>dílčí úsek finálního artefaktu — konkrétní výstup</t>
      </text>
    </comment>
    <comment ref="B31" authorId="0" shapeId="0">
      <text>
        <t>např. NP-03, NP-04, NP-18 — oddělené čárkou</t>
      </text>
    </comment>
    <comment ref="B32" authorId="0" shapeId="0">
      <text>
        <t>např. F2: NP-04 — zadání je záměrně obtížnější, než lze zvládnout s AI samotnou</t>
      </text>
    </comment>
    <comment ref="B35" authorId="0" shapeId="0">
      <text>
        <t>kód formátu z CIS_Formaty</t>
      </text>
    </comment>
    <comment ref="B36" authorId="0" shapeId="0">
      <text>
        <t>přesné znění nebo instrukce</t>
      </text>
    </comment>
    <comment ref="B37" authorId="0" shapeId="0">
      <text>
        <t>AI / Lektor / Garant / Uživatel (sebehodnocení) / Kombinace</t>
      </text>
    </comment>
    <comment ref="B40" authorId="1" shapeId="0">
      <text>
        <t>nízká = nejvýše 2 nové pojmy, známé situace · střední = 3–4 pojmy nebo 1 abstraktní princip · vysoká = 5+ pojmů, abstraktní model, právní či výzkumný rámec</t>
      </text>
    </comment>
    <comment ref="B41" authorId="1" shapeId="0">
      <text>
        <t>podle úrovně (1_Identifikace 1.2) a náročnosti tématu; 130 slov/min</t>
      </text>
    </comment>
    <comment ref="B42" authorId="1" shapeId="0">
      <text>
        <t>F1 + F2 + F3 + F4 musí dát délku modulu</t>
      </text>
    </comment>
    <comment ref="B43" authorId="1" shapeId="0">
      <text>
        <t>Problémy, které generátor nahlásil na první řádce modulu (⚠ PRO METODIKA), nebo které našel metodik: typ – popis – řešení. Před schválením kurzu musí být vyřešené a pole prázdné.</t>
      </text>
    </comment>
  </commentList>
</comments>
</file>

<file path=xl/comments/comment10.xml><?xml version="1.0" encoding="utf-8"?>
<comments xmlns="http://schemas.openxmlformats.org/spreadsheetml/2006/main">
  <authors>
    <author>Unknown Author</author>
  </authors>
  <commentList>
    <comment ref="B4" authorId="0" shapeId="0">
      <text>
        <t>A — vlastní F1–F4 blok / B — pouze finální ověření přes rubriku</t>
      </text>
    </comment>
    <comment ref="B5" authorId="0" shapeId="0">
      <text>
        <t>doplňte název</t>
      </text>
    </comment>
    <comment ref="B6" authorId="0" shapeId="0">
      <text>
        <t>číslo</t>
      </text>
    </comment>
    <comment ref="B7" authorId="0" shapeId="0">
      <text>
        <t>co závěrečný modul obsahuje — reflexe, portfolio, prezentace artefaktu</t>
      </text>
    </comment>
    <comment ref="B8" authorId="0" shapeId="0">
      <text>
        <t>jak propojuje výstupy F4 APLIKACE z modulů 1–5 do finálního artefaktu</t>
      </text>
    </comment>
    <comment ref="B11" authorId="0" shapeId="0">
      <text>
        <t>krátký výklad nebo žádný</t>
      </text>
    </comment>
    <comment ref="B12" authorId="0" shapeId="0">
      <text>
        <t>praktická aktivita, příprava na finální výstup</t>
      </text>
    </comment>
    <comment ref="B13" authorId="0" shapeId="0">
      <text>
        <t>checkpoint</t>
      </text>
    </comment>
    <comment ref="B14" authorId="0" shapeId="0">
      <text>
        <t>skladba finální podoby artefaktu z F4 modulů 1–5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26" min="1" max="1"/>
    <col width="90" customWidth="1" style="26" min="2" max="2"/>
  </cols>
  <sheetData>
    <row r="1" ht="27.75" customHeight="1" s="27">
      <c r="A1" s="28" t="inlineStr">
        <is>
          <t>PRAKTIK-AI  |  Matrice kurzu v7.0  |  Návod pro metodika</t>
        </is>
      </c>
    </row>
    <row r="2"/>
    <row r="3" ht="24" customHeight="1" s="27">
      <c r="A3" s="29" t="inlineStr">
        <is>
          <t>Jak pracovat s touto matricí</t>
        </is>
      </c>
    </row>
    <row r="4"/>
    <row r="5" ht="49.5" customHeight="1" s="27">
      <c r="A5" s="30" t="inlineStr">
        <is>
          <t>Žluté buňky</t>
        </is>
      </c>
      <c r="B5" s="31" t="inlineStr">
        <is>
          <t>Buňky k vyplnění. Šedá kurzíva = nápověda / příklad — přepište svým obsahem.</t>
        </is>
      </c>
    </row>
    <row r="6" ht="49.5" customHeight="1" s="27">
      <c r="A6" s="30" t="inlineStr">
        <is>
          <t>Modré klíče (levé sloupce)</t>
        </is>
      </c>
      <c r="B6" s="31" t="inlineStr">
        <is>
          <t>PEVNÉ identifikátory pro agenta. NEMĚŇTE jejich text — agent je čte jako klíče.</t>
        </is>
      </c>
    </row>
    <row r="7" ht="49.5" customHeight="1" s="27">
      <c r="A7" s="30" t="inlineStr">
        <is>
          <t>Zelené listy (CIS_...)</t>
        </is>
      </c>
      <c r="B7" s="31" t="inlineStr">
        <is>
          <t>Číselníky. Read-only referenční data (neurovědní principy, formáty, KRAUU, role, pojmy). NEUPRAVUJTE bez vědomí garanta.</t>
        </is>
      </c>
    </row>
    <row r="8" ht="49.5" customHeight="1" s="27">
      <c r="A8" s="30" t="inlineStr">
        <is>
          <t>Dropdowny</t>
        </is>
      </c>
      <c r="B8" s="31" t="inlineStr">
        <is>
          <t>Některé buňky mají rozbalovací seznam (ano/ne, Bloom úrovně, hodnotitel atd.) — použijte volby ze seznamu.</t>
        </is>
      </c>
    </row>
    <row r="9" ht="49.5" customHeight="1" s="27">
      <c r="A9" s="30" t="inlineStr">
        <is>
          <t>Odkazování kódy</t>
        </is>
      </c>
      <c r="B9" s="31" t="inlineStr">
        <is>
          <t>Mezi listy odkazujte KÓDY (např. NP-08, FMT-MCQ, 2.4, ROLE-02), ne celým textem. Agent kódy spojuje napříč listy.</t>
        </is>
      </c>
    </row>
    <row r="10" ht="49.5" customHeight="1" s="27">
      <c r="A10" s="30" t="inlineStr">
        <is>
          <t>Pořadí vyplňování (doporučené)</t>
        </is>
      </c>
      <c r="B10" s="31" t="inlineStr">
        <is>
          <t>1) Identifikace (list 1, včetně 1.8 Parametry pro generátor) → 2) GOALS → 3) OBJECTIVES → 4) Větvení → 5–7) Principy a kompetence → 8) Vzory → 9) Artefakt → 10) Mediální přílohy → 11) Rubrika → 12) Výzkum → M1–M5, Capstone → 14) Zdroje → 13) Validace.</t>
        </is>
      </c>
    </row>
    <row r="11" ht="49.5" customHeight="1" s="27">
      <c r="A11" s="30" t="inlineStr">
        <is>
          <t>Validace před odevzdáním</t>
        </is>
      </c>
      <c r="B11" s="31" t="inlineStr">
        <is>
          <t>Otevřete list 13_Validace. Sloupec Auto zezelená u splněných pravidel sám. Garant ručně potvrdí kvalitativní pravidla (GOAL je formulován správně, rubrika rozlišuje úrovně, vzory dávají smysl, žádný placeholder nezůstal).</t>
        </is>
      </c>
    </row>
    <row r="12" ht="49.5" customHeight="1" s="27">
      <c r="A12" s="30" t="inlineStr">
        <is>
          <t>Struktura listů</t>
        </is>
      </c>
      <c r="B12" s="31" t="inlineStr">
        <is>
          <t>Listy 1–14 = data o kurzu (vyplňujete). Listy M1–M5 + Capstone = jednotlivé moduly. Listy CIS_* = číselníky (referenční), nově CIS_Skupiny a CIS_Urovne.</t>
        </is>
      </c>
    </row>
    <row r="13"/>
    <row r="14" ht="24" customHeight="1" s="27">
      <c r="A14" s="32" t="inlineStr">
        <is>
          <t>4 role uživatelů platformy:</t>
        </is>
      </c>
    </row>
    <row r="15"/>
    <row r="16" ht="15" customHeight="1" s="27">
      <c r="A16" s="33" t="inlineStr">
        <is>
          <t>User</t>
        </is>
      </c>
      <c r="B16" s="34" t="inlineStr">
        <is>
          <t>Ten, kdo studuje kurz.</t>
        </is>
      </c>
    </row>
    <row r="17" ht="15" customHeight="1" s="27">
      <c r="A17" s="33" t="inlineStr">
        <is>
          <t>Lektor</t>
        </is>
      </c>
      <c r="B17" s="34" t="inlineStr">
        <is>
          <t>Kontroluje výsledky studentů, poskytuje lidskou ZV, navrhuje a generuje kurzy.</t>
        </is>
      </c>
    </row>
    <row r="18" ht="15" customHeight="1" s="27">
      <c r="A18" s="33" t="inlineStr">
        <is>
          <t>Garant</t>
        </is>
      </c>
      <c r="B18" s="34" t="inlineStr">
        <is>
          <t>Navrhuje vlastní kurzy a schvaluje cizí. Schvaluje validační checklist.</t>
        </is>
      </c>
    </row>
    <row r="19" ht="15" customHeight="1" s="27">
      <c r="A19" s="33" t="inlineStr">
        <is>
          <t>Super admin</t>
        </is>
      </c>
      <c r="B19" s="34" t="inlineStr">
        <is>
          <t>Plný přístup ke všemu.</t>
        </is>
      </c>
    </row>
    <row r="21">
      <c r="A21" s="35" t="inlineStr">
        <is>
          <t>Novinky ve verzi 7.0</t>
        </is>
      </c>
    </row>
    <row r="22" ht="32" customHeight="1" s="27">
      <c r="A22" s="36" t="inlineStr">
        <is>
          <t>F1 PREZENTACE</t>
        </is>
      </c>
      <c r="B22" s="37" t="inlineStr">
        <is>
          <t>5–10 minut (dříve max. 5). Délku určuje úroveň kurzu a náročnost tématu – viz list CIS_Urovne. F1 = výklad ke čtení („příručka").</t>
        </is>
      </c>
    </row>
    <row r="23" ht="32" customHeight="1" s="27">
      <c r="A23" s="36" t="inlineStr">
        <is>
          <t>Úroveň (1.2)</t>
        </is>
      </c>
      <c r="B23" s="37" t="inlineStr">
        <is>
          <t>Tři úrovně zkušenosti s AI: Začátečník / Středně pokročilý / Pokročilý. Úroveň se týká práce s AI, ne odbornosti v oboru.</t>
        </is>
      </c>
    </row>
    <row r="24" ht="32" customHeight="1" s="27">
      <c r="A24" s="36" t="inlineStr">
        <is>
          <t>Cílové skupiny</t>
        </is>
      </c>
      <c r="B24" s="37" t="inlineStr">
        <is>
          <t>Akademik (vč. doktorandů) · Student (Bc., Mgr.) · Mentor (provázející učitel ZŠ/SŠ). Definice pro generátor v listu CIS_Skupiny.</t>
        </is>
      </c>
    </row>
    <row r="25" ht="32" customHeight="1" s="27">
      <c r="A25" s="36" t="inlineStr">
        <is>
          <t>1.8 Parametry pro generátor</t>
        </is>
      </c>
      <c r="B25" s="37" t="inlineStr">
        <is>
          <t>Nový oddíl: cílové skupiny, počet modulů, anotace pro platformu (max. 500 znaků) a automatické převody pro generátor.</t>
        </is>
      </c>
    </row>
    <row r="26" ht="32" customHeight="1" s="27">
      <c r="A26" s="36" t="inlineStr">
        <is>
          <t>Moduly M1–M5</t>
        </is>
      </c>
      <c r="B26" s="37" t="inlineStr">
        <is>
          <t>Nová pole: Náročnost tématu, orientační rozsah F1, kontrola součtu fází, Otevřené problémy pro metodika (hlášení ⚠ PRO METODIKA z generátoru).</t>
        </is>
      </c>
    </row>
    <row r="27" ht="32" customHeight="1" s="27">
      <c r="A27" s="36" t="inlineStr">
        <is>
          <t>14_Zdroje</t>
        </is>
      </c>
      <c r="B27" s="37" t="inlineStr">
        <is>
          <t>Nový list: soubory ke kurzu s rolí (obsah / pravidla pro tvorbu / hotový kurz) a známé rozpory ve zdrojích. Generátor přijímá jen .md a .docx.</t>
        </is>
      </c>
    </row>
    <row r="28" ht="32" customHeight="1" s="27">
      <c r="A28" s="36" t="inlineStr">
        <is>
          <t>13_Validace</t>
        </is>
      </c>
      <c r="B28" s="37" t="inlineStr">
        <is>
          <t>Nové automatické kontroly (úroveň, cílové skupiny, anotace, F1 5–10 min, náročnost, otevřené problémy, zdroje) a dvě kvalitativní.</t>
        </is>
      </c>
    </row>
    <row r="29" ht="32" customHeight="1" s="27">
      <c r="A29" s="36" t="inlineStr">
        <is>
          <t>Podklad změn</t>
        </is>
      </c>
      <c r="B29" s="37" t="inlineStr">
        <is>
          <t>Audit promptů generátoru kurzů, 25. 9. 2026 (simulace A0101, 12 variant).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26" min="1" max="1"/>
    <col width="35" customWidth="1" style="26" min="2" max="2"/>
    <col width="5" customWidth="1" style="26" min="3" max="3"/>
    <col width="35" customWidth="1" style="26" min="4" max="4"/>
  </cols>
  <sheetData>
    <row r="1" ht="27.75" customHeight="1" s="27">
      <c r="A1" s="28" t="inlineStr">
        <is>
          <t>PRAKTIK-AI  |  Matrice kurzu v7.0  |  IDENTIFIKACE</t>
        </is>
      </c>
    </row>
    <row r="2" ht="31.5" customHeight="1" s="27">
      <c r="A2" s="38" t="inlineStr">
        <is>
          <t>💡 Žluté buňky = vyplňte. Modré klíče = NEMĚŇTE (čte je agent). Pole s rozbalovacím seznamem mají dropdown. Označení jako [NP-08] = kód z číselníku.</t>
        </is>
      </c>
    </row>
    <row r="3"/>
    <row r="4" ht="19.5" customHeight="1" s="27">
      <c r="A4" s="39" t="inlineStr">
        <is>
          <t>1.1  Identifikátory kurzu</t>
        </is>
      </c>
    </row>
    <row r="5" ht="37.5" customHeight="1" s="27">
      <c r="A5" s="30" t="inlineStr">
        <is>
          <t>Interní kód (DB)</t>
        </is>
      </c>
      <c r="B5" s="40" t="n"/>
      <c r="C5" s="41" t="n"/>
      <c r="D5" s="41" t="n"/>
    </row>
    <row r="6" ht="37.5" customHeight="1" s="27">
      <c r="A6" s="30" t="inlineStr">
        <is>
          <t>Zobrazovací kód (UI)</t>
        </is>
      </c>
      <c r="B6" s="40" t="n"/>
      <c r="C6" s="41" t="n"/>
      <c r="D6" s="41" t="n"/>
    </row>
    <row r="7" ht="37.5" customHeight="1" s="27">
      <c r="A7" s="30" t="inlineStr">
        <is>
          <t>URL slug</t>
        </is>
      </c>
      <c r="B7" s="40" t="n"/>
      <c r="C7" s="41" t="n"/>
      <c r="D7" s="41" t="n"/>
    </row>
    <row r="8" ht="37.5" customHeight="1" s="27">
      <c r="A8" s="30" t="inlineStr">
        <is>
          <t>Plný název kurzu (certifikát)</t>
        </is>
      </c>
      <c r="B8" s="40" t="n"/>
      <c r="C8" s="41" t="n"/>
      <c r="D8" s="41" t="n"/>
    </row>
    <row r="9" ht="37.5" customHeight="1" s="27">
      <c r="A9" s="30" t="inlineStr">
        <is>
          <t>Řešený problém</t>
        </is>
      </c>
      <c r="B9" s="40" t="n"/>
      <c r="C9" s="41" t="n"/>
      <c r="D9" s="41" t="n"/>
    </row>
    <row r="10" ht="37.5" customHeight="1" s="27">
      <c r="A10" s="30" t="inlineStr">
        <is>
          <t>Výstup kurzu (artefakt)</t>
        </is>
      </c>
      <c r="B10" s="40" t="n"/>
      <c r="C10" s="41" t="n"/>
      <c r="D10" s="41" t="n"/>
    </row>
    <row r="11"/>
    <row r="12" ht="19.5" customHeight="1" s="27">
      <c r="A12" s="39" t="inlineStr">
        <is>
          <t>1.2  Základní parametry</t>
        </is>
      </c>
    </row>
    <row r="13" ht="37.5" customHeight="1" s="27">
      <c r="A13" s="30" t="inlineStr">
        <is>
          <t>Blok</t>
        </is>
      </c>
      <c r="B13" s="40" t="n"/>
      <c r="C13" s="41" t="n"/>
      <c r="D13" s="41" t="n"/>
    </row>
    <row r="14" ht="37.5" customHeight="1" s="27">
      <c r="A14" s="30" t="inlineStr">
        <is>
          <t>Verze kurzu</t>
        </is>
      </c>
      <c r="B14" s="40" t="n"/>
      <c r="C14" s="41" t="n"/>
      <c r="D14" s="41" t="n"/>
    </row>
    <row r="15" ht="37.5" customHeight="1" s="27">
      <c r="A15" s="30" t="inlineStr">
        <is>
          <t>Délka celkem (min)</t>
        </is>
      </c>
      <c r="B15" s="40" t="n"/>
      <c r="C15" s="41" t="n"/>
      <c r="D15" s="41" t="n"/>
    </row>
    <row r="16" ht="37.5" customHeight="1" s="27">
      <c r="A16" s="30" t="inlineStr">
        <is>
          <t>Úroveň</t>
        </is>
      </c>
      <c r="B16" s="40" t="n"/>
      <c r="C16" s="41" t="n"/>
      <c r="D16" s="41" t="n"/>
    </row>
    <row r="17" ht="37.5" customHeight="1" s="27">
      <c r="A17" s="30" t="inlineStr">
        <is>
          <t>Povinnost</t>
        </is>
      </c>
      <c r="B17" s="40" t="n"/>
      <c r="C17" s="41" t="n"/>
      <c r="D17" s="41" t="n"/>
    </row>
    <row r="18" ht="37.5" customHeight="1" s="27">
      <c r="A18" s="30" t="inlineStr">
        <is>
          <t>EQF úroveň</t>
        </is>
      </c>
      <c r="B18" s="40" t="n"/>
      <c r="C18" s="41" t="n"/>
      <c r="D18" s="41" t="n"/>
    </row>
    <row r="19" ht="37.5" customHeight="1" s="27">
      <c r="A19" s="30" t="inlineStr">
        <is>
          <t>ECTS (orientační)</t>
        </is>
      </c>
      <c r="B19" s="40" t="n"/>
      <c r="C19" s="41" t="n"/>
      <c r="D19" s="41" t="n"/>
    </row>
    <row r="20" ht="37.5" customHeight="1" s="27">
      <c r="A20" s="30" t="inlineStr">
        <is>
          <t>Prerekvizity (kódy)</t>
        </is>
      </c>
      <c r="B20" s="40" t="n"/>
      <c r="C20" s="41" t="n"/>
      <c r="D20" s="41" t="n"/>
    </row>
    <row r="21" ht="37.5" customHeight="1" s="27">
      <c r="A21" s="30" t="inlineStr">
        <is>
          <t>Navazující kurzy (kódy)</t>
        </is>
      </c>
      <c r="B21" s="40" t="n"/>
      <c r="C21" s="41" t="n"/>
      <c r="D21" s="41" t="n"/>
    </row>
    <row r="22"/>
    <row r="23" ht="19.5" customHeight="1" s="27">
      <c r="A23" s="39" t="inlineStr">
        <is>
          <t>1.3  Typ kurzu (lze více, zaškrtněte X)</t>
        </is>
      </c>
    </row>
    <row r="24" ht="21.75" customHeight="1" s="27">
      <c r="A24" s="42" t="n"/>
      <c r="B24" s="30" t="inlineStr">
        <is>
          <t>Obecný — platí pro všechny obory</t>
        </is>
      </c>
      <c r="C24" s="42" t="n"/>
      <c r="D24" s="30" t="inlineStr">
        <is>
          <t>Oborový — specifický pro jeden obor</t>
        </is>
      </c>
    </row>
    <row r="25" ht="21.75" customHeight="1" s="27">
      <c r="A25" s="42" t="n"/>
      <c r="B25" s="30" t="inlineStr">
        <is>
          <t>Průřezový — přesahuje skupiny C</t>
        </is>
      </c>
      <c r="C25" s="42" t="n"/>
      <c r="D25" s="30" t="inlineStr">
        <is>
          <t>Vstupní kurz skupiny (C bloky)</t>
        </is>
      </c>
    </row>
    <row r="26" ht="21.75" customHeight="1" s="27">
      <c r="A26" s="42" t="n"/>
      <c r="B26" s="30" t="inlineStr">
        <is>
          <t>Specializovaný — pro konkrétní roli</t>
        </is>
      </c>
      <c r="C26" s="42" t="n"/>
      <c r="D26" s="30" t="inlineStr">
        <is>
          <t>Volitelné rozšíření</t>
        </is>
      </c>
    </row>
    <row r="27"/>
    <row r="28" ht="19.5" customHeight="1" s="27">
      <c r="A28" s="39" t="inlineStr">
        <is>
          <t>1.4  Anchor text a informační nota</t>
        </is>
      </c>
    </row>
    <row r="29" ht="37.5" customHeight="1" s="27">
      <c r="A29" s="30" t="inlineStr">
        <is>
          <t>Anchor text</t>
        </is>
      </c>
      <c r="B29" s="40" t="n"/>
      <c r="C29" s="41" t="n"/>
      <c r="D29" s="41" t="n"/>
    </row>
    <row r="30" ht="37.5" customHeight="1" s="27">
      <c r="A30" s="30" t="inlineStr">
        <is>
          <t>Informační nota</t>
        </is>
      </c>
      <c r="B30" s="40" t="n"/>
      <c r="C30" s="41" t="n"/>
      <c r="D30" s="41" t="n"/>
    </row>
    <row r="31"/>
    <row r="32" ht="19.5" customHeight="1" s="27">
      <c r="A32" s="39" t="inlineStr">
        <is>
          <t>1.5  Skip — pravidla přeskočení</t>
        </is>
      </c>
    </row>
    <row r="33" ht="37.5" customHeight="1" s="27">
      <c r="A33" s="30" t="inlineStr">
        <is>
          <t>Skip povolen?</t>
        </is>
      </c>
      <c r="B33" s="40" t="n"/>
      <c r="C33" s="41" t="n"/>
      <c r="D33" s="41" t="n"/>
    </row>
    <row r="34" ht="37.5" customHeight="1" s="27">
      <c r="A34" s="30" t="inlineStr">
        <is>
          <t>Typ skipu</t>
        </is>
      </c>
      <c r="B34" s="40" t="n"/>
      <c r="C34" s="41" t="n"/>
      <c r="D34" s="41" t="n"/>
    </row>
    <row r="35" ht="37.5" customHeight="1" s="27">
      <c r="A35" s="30" t="inlineStr">
        <is>
          <t>Práh úspěšnosti (%)</t>
        </is>
      </c>
      <c r="B35" s="40" t="n"/>
      <c r="C35" s="41" t="n"/>
      <c r="D35" s="41" t="n"/>
    </row>
    <row r="36" ht="37.5" customHeight="1" s="27">
      <c r="A36" s="30" t="inlineStr">
        <is>
          <t>Při neúspěchu testu</t>
        </is>
      </c>
      <c r="B36" s="40" t="n"/>
      <c r="C36" s="41" t="n"/>
      <c r="D36" s="41" t="n"/>
    </row>
    <row r="37"/>
    <row r="38" ht="19.5" customHeight="1" s="27">
      <c r="A38" s="39" t="inlineStr">
        <is>
          <t>1.6  Styl psaní a tón kurzu (zaškrtněte X)</t>
        </is>
      </c>
    </row>
    <row r="39" ht="15" customHeight="1" s="27">
      <c r="A39" s="42" t="n"/>
      <c r="B39" s="33" t="inlineStr">
        <is>
          <t>Konverzační — přímé oslovení uživatele (vykání)</t>
        </is>
      </c>
      <c r="C39" s="42" t="n"/>
      <c r="D39" s="33" t="inlineStr">
        <is>
          <t>Narativní — situace, příběhy, dialogy z praxe</t>
        </is>
      </c>
    </row>
    <row r="40" ht="15" customHeight="1" s="27">
      <c r="A40" s="42" t="n"/>
      <c r="B40" s="33" t="inlineStr">
        <is>
          <t>Instruktážní — kroky a postupy v imperativu</t>
        </is>
      </c>
      <c r="C40" s="42" t="n"/>
      <c r="D40" s="33" t="inlineStr">
        <is>
          <t>Analytický — systematický výklad (vhodné pro F1)</t>
        </is>
      </c>
    </row>
    <row r="41" ht="37.5" customHeight="1" s="27">
      <c r="A41" s="30" t="inlineStr">
        <is>
          <t>Doplňující poznámka ke stylu</t>
        </is>
      </c>
      <c r="B41" s="40" t="n"/>
      <c r="C41" s="41" t="n"/>
      <c r="D41" s="41" t="n"/>
    </row>
    <row r="42" ht="37.5" customHeight="1" s="27">
      <c r="A42" s="30" t="inlineStr">
        <is>
          <t>Typické rozložení fází (min)</t>
        </is>
      </c>
      <c r="B42" s="40" t="n"/>
      <c r="C42" s="41" t="n"/>
      <c r="D42" s="41" t="n"/>
    </row>
    <row r="43"/>
    <row r="44" ht="19.5" customHeight="1" s="27">
      <c r="A44" s="39" t="inlineStr">
        <is>
          <t>1.7  Text pro certifikát (shrnutí GOALS)</t>
        </is>
      </c>
    </row>
    <row r="45" ht="37.5" customHeight="1" s="27">
      <c r="A45" s="30" t="inlineStr">
        <is>
          <t>Text certifikátu</t>
        </is>
      </c>
      <c r="B45" s="40" t="n"/>
      <c r="C45" s="41" t="n"/>
      <c r="D45" s="41" t="n"/>
    </row>
    <row r="47">
      <c r="A47" s="43" t="inlineStr">
        <is>
          <t>1.8  Parametry pro generátor platformy (cílové skupiny zaškrtněte X)</t>
        </is>
      </c>
    </row>
    <row r="48" ht="30" customHeight="1" s="27">
      <c r="A48" s="44" t="n"/>
      <c r="B48" s="45" t="inlineStr">
        <is>
          <t>Akademik — vyučující, výzkumník, doktorand</t>
        </is>
      </c>
      <c r="C48" s="44" t="n"/>
      <c r="D48" s="45" t="inlineStr">
        <is>
          <t>Student — Bc. a Mgr. studium (zejm. učitelství)</t>
        </is>
      </c>
    </row>
    <row r="49" ht="30" customHeight="1" s="27">
      <c r="A49" s="44" t="n"/>
      <c r="B49" s="45" t="inlineStr">
        <is>
          <t>Mentor — provázející učitel ZŠ/SŠ</t>
        </is>
      </c>
    </row>
    <row r="50" ht="30" customHeight="1" s="27">
      <c r="A50" s="45" t="inlineStr">
        <is>
          <t>Počet modulů</t>
        </is>
      </c>
      <c r="B50" s="46" t="n"/>
      <c r="C50" s="41" t="n"/>
      <c r="D50" s="41" t="n"/>
    </row>
    <row r="51" ht="30" customHeight="1" s="27">
      <c r="A51" s="45" t="inlineStr">
        <is>
          <t>Minut na modul (auto)</t>
        </is>
      </c>
      <c r="B51" s="47">
        <f>IF(OR(B15="",B50=""),"",ROUND(B15/B50,0))</f>
        <v/>
      </c>
      <c r="C51" s="41" t="n"/>
      <c r="D51" s="41" t="n"/>
    </row>
    <row r="52" ht="30" customHeight="1" s="27">
      <c r="A52" s="45" t="inlineStr">
        <is>
          <t>Úroveň pro generátor (auto)</t>
        </is>
      </c>
      <c r="B52" s="47">
        <f>IF(B16="Začátečník","beginner",IF(B16="Středně pokročilý","intermediate",IF(B16="Pokročilý","advanced","")))</f>
        <v/>
      </c>
      <c r="C52" s="41" t="n"/>
      <c r="D52" s="41" t="n"/>
    </row>
    <row r="53" ht="75" customHeight="1" s="27">
      <c r="A53" s="45" t="inlineStr">
        <is>
          <t>Anotace pro platformu</t>
        </is>
      </c>
      <c r="B53" s="46" t="n"/>
      <c r="C53" s="41" t="n"/>
      <c r="D53" s="41" t="n"/>
    </row>
    <row r="54" ht="30" customHeight="1" s="27">
      <c r="A54" s="45" t="inlineStr">
        <is>
          <t>Anotace — počet znaků (auto)</t>
        </is>
      </c>
      <c r="B54" s="47">
        <f>IF(B53="","",LEN(B53)&amp;" / 500")</f>
        <v/>
      </c>
      <c r="C54" s="41" t="n"/>
      <c r="D54" s="41" t="n"/>
    </row>
  </sheetData>
  <mergeCells count="39">
    <mergeCell ref="B42:D42"/>
    <mergeCell ref="A23:D23"/>
    <mergeCell ref="B14:D14"/>
    <mergeCell ref="A4:D4"/>
    <mergeCell ref="B8:D8"/>
    <mergeCell ref="A38:D38"/>
    <mergeCell ref="B17:D17"/>
    <mergeCell ref="B13:D13"/>
    <mergeCell ref="B53:D53"/>
    <mergeCell ref="B29:D29"/>
    <mergeCell ref="A28:D28"/>
    <mergeCell ref="B34:D34"/>
    <mergeCell ref="A44:D44"/>
    <mergeCell ref="B10:D10"/>
    <mergeCell ref="B19:D19"/>
    <mergeCell ref="B9:D9"/>
    <mergeCell ref="B30:D30"/>
    <mergeCell ref="B15:D15"/>
    <mergeCell ref="B6:D6"/>
    <mergeCell ref="B51:D51"/>
    <mergeCell ref="B20:D20"/>
    <mergeCell ref="B33:D33"/>
    <mergeCell ref="A1:D1"/>
    <mergeCell ref="B5:D5"/>
    <mergeCell ref="B36:D36"/>
    <mergeCell ref="B45:D45"/>
    <mergeCell ref="B41:D41"/>
    <mergeCell ref="B35:D35"/>
    <mergeCell ref="B50:D50"/>
    <mergeCell ref="B7:D7"/>
    <mergeCell ref="B16:D16"/>
    <mergeCell ref="B54:D54"/>
    <mergeCell ref="A12:D12"/>
    <mergeCell ref="B18:D18"/>
    <mergeCell ref="B52:D52"/>
    <mergeCell ref="B21:D21"/>
    <mergeCell ref="A2:D2"/>
    <mergeCell ref="A47:D47"/>
    <mergeCell ref="A32:D32"/>
  </mergeCells>
  <dataValidations count="2">
    <dataValidation sqref="B16" showDropDown="0" showInputMessage="0" showErrorMessage="0" allowBlank="1" type="list">
      <formula1>"Začátečník,Středně pokročilý,Pokročilý"</formula1>
    </dataValidation>
    <dataValidation sqref="B50" showDropDown="0" showInputMessage="0" showErrorMessage="0" allowBlank="1" type="whole" operator="between">
      <formula1>1</formula1>
      <formula2>5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6" min="1" max="1"/>
    <col width="18" customWidth="1" style="26" min="2" max="2"/>
    <col width="60" customWidth="1" style="26" min="3" max="3"/>
    <col width="22" customWidth="1" style="26" min="4" max="4"/>
  </cols>
  <sheetData>
    <row r="1" ht="27.75" customHeight="1" s="27">
      <c r="A1" s="28" t="inlineStr">
        <is>
          <t>2  GOALS — výkonové cíle kurzu</t>
        </is>
      </c>
    </row>
    <row r="2" ht="39.75" customHeight="1" s="27">
      <c r="A2" s="38" t="inlineStr">
        <is>
          <t>💡 GOALS = co absolvent kurzu prokazatelně zvládá. Sloveso 3. os. sg. + objekt + podmínka. Každý zaškrtnutý GOAL musí být zastoupen alespoň jednou fází modulu. Viz list 'CIS_Bloom' pro slovesa.</t>
        </is>
      </c>
    </row>
    <row r="3"/>
    <row r="4" ht="15" customHeight="1" s="27">
      <c r="A4" s="48" t="inlineStr">
        <is>
          <t>✓</t>
        </is>
      </c>
      <c r="B4" s="48" t="inlineStr">
        <is>
          <t>Bloom úroveň</t>
        </is>
      </c>
      <c r="C4" s="48" t="inlineStr">
        <is>
          <t>Popis GOAL</t>
        </is>
      </c>
      <c r="D4" s="48" t="inlineStr">
        <is>
          <t>Pokryto v modulech</t>
        </is>
      </c>
    </row>
    <row r="5" ht="42" customHeight="1" s="27">
      <c r="A5" s="49" t="n"/>
      <c r="B5" s="33" t="inlineStr">
        <is>
          <t>1 — Zapamatovat</t>
        </is>
      </c>
      <c r="C5" s="42" t="n"/>
      <c r="D5" s="42" t="n"/>
    </row>
    <row r="6" ht="42" customHeight="1" s="27">
      <c r="A6" s="49" t="n"/>
      <c r="B6" s="33" t="inlineStr">
        <is>
          <t>2 — Porozumět</t>
        </is>
      </c>
      <c r="C6" s="42" t="n"/>
      <c r="D6" s="42" t="n"/>
    </row>
    <row r="7" ht="42" customHeight="1" s="27">
      <c r="A7" s="49" t="n"/>
      <c r="B7" s="33" t="inlineStr">
        <is>
          <t>3 — Aplikovat</t>
        </is>
      </c>
      <c r="C7" s="42" t="n"/>
      <c r="D7" s="42" t="n"/>
    </row>
    <row r="8" ht="42" customHeight="1" s="27">
      <c r="A8" s="49" t="n"/>
      <c r="B8" s="33" t="inlineStr">
        <is>
          <t>4 — Analyzovat</t>
        </is>
      </c>
      <c r="C8" s="42" t="n"/>
      <c r="D8" s="42" t="n"/>
    </row>
    <row r="9" ht="42" customHeight="1" s="27">
      <c r="A9" s="49" t="n"/>
      <c r="B9" s="33" t="inlineStr">
        <is>
          <t>5 — Hodnotit</t>
        </is>
      </c>
      <c r="C9" s="42" t="n"/>
      <c r="D9" s="42" t="n"/>
    </row>
    <row r="10" ht="42" customHeight="1" s="27">
      <c r="A10" s="49" t="n"/>
      <c r="B10" s="33" t="inlineStr">
        <is>
          <t>6 — Tvořit</t>
        </is>
      </c>
      <c r="C10" s="42" t="n"/>
      <c r="D10" s="42" t="n"/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55" customWidth="1" style="26" min="2" max="2"/>
    <col width="14" customWidth="1" style="26" min="3" max="3"/>
    <col width="13" customWidth="1" style="26" min="4" max="4"/>
    <col width="10" customWidth="1" style="26" min="5" max="5"/>
    <col width="22" customWidth="1" style="26" min="6" max="6"/>
  </cols>
  <sheetData>
    <row r="1" ht="27.75" customHeight="1" s="27">
      <c r="A1" s="28" t="inlineStr">
        <is>
          <t>3  OBJECTIVES — cíle modulů</t>
        </is>
      </c>
    </row>
    <row r="2" ht="49.5" customHeight="1" s="27">
      <c r="A2" s="38" t="inlineStr">
        <is>
          <t>💡 Každý OBJECTIVE = měřitelné chování (sloveso 3. os. sg. + objekt + podmínka). ID musí být UNIKÁTNÍ v rámci celého kurikula PRAKTIK-AI. Modul má 1–3 OBJECTIVES. Vazba na GOAL = úroveň Bloom z listu 2_GOALS.</t>
        </is>
      </c>
    </row>
    <row r="3"/>
    <row r="4" ht="26.85" customHeight="1" s="27">
      <c r="A4" s="48" t="inlineStr">
        <is>
          <t>ID</t>
        </is>
      </c>
      <c r="B4" s="48" t="inlineStr">
        <is>
          <t>Text OBJECTIVE</t>
        </is>
      </c>
      <c r="C4" s="48" t="inlineStr">
        <is>
          <t>Typ</t>
        </is>
      </c>
      <c r="D4" s="48" t="inlineStr">
        <is>
          <t>Testovatelný?</t>
        </is>
      </c>
      <c r="E4" s="48" t="inlineStr">
        <is>
          <t>Modul č.</t>
        </is>
      </c>
      <c r="F4" s="48" t="inlineStr">
        <is>
          <t>Vazba na GOAL (Bloom úroveň)</t>
        </is>
      </c>
    </row>
    <row r="5" ht="31.5" customHeight="1" s="27">
      <c r="A5" s="42" t="n"/>
      <c r="B5" s="42" t="n"/>
      <c r="C5" s="42" t="n"/>
      <c r="D5" s="42" t="n"/>
      <c r="E5" s="42" t="n"/>
      <c r="F5" s="42" t="n"/>
    </row>
    <row r="6" ht="31.5" customHeight="1" s="27">
      <c r="A6" s="42" t="n"/>
      <c r="B6" s="42" t="n"/>
      <c r="C6" s="42" t="n"/>
      <c r="D6" s="42" t="n"/>
      <c r="E6" s="42" t="n"/>
      <c r="F6" s="42" t="n"/>
    </row>
    <row r="7" ht="31.5" customHeight="1" s="27">
      <c r="A7" s="42" t="n"/>
      <c r="B7" s="42" t="n"/>
      <c r="C7" s="42" t="n"/>
      <c r="D7" s="42" t="n"/>
      <c r="E7" s="42" t="n"/>
      <c r="F7" s="42" t="n"/>
    </row>
    <row r="8" ht="31.5" customHeight="1" s="27">
      <c r="A8" s="42" t="n"/>
      <c r="B8" s="42" t="n"/>
      <c r="C8" s="42" t="n"/>
      <c r="D8" s="42" t="n"/>
      <c r="E8" s="42" t="n"/>
      <c r="F8" s="42" t="n"/>
    </row>
    <row r="9" ht="31.5" customHeight="1" s="27">
      <c r="A9" s="42" t="n"/>
      <c r="B9" s="42" t="n"/>
      <c r="C9" s="42" t="n"/>
      <c r="D9" s="42" t="n"/>
      <c r="E9" s="42" t="n"/>
      <c r="F9" s="42" t="n"/>
    </row>
    <row r="10" ht="31.5" customHeight="1" s="27">
      <c r="A10" s="42" t="n"/>
      <c r="B10" s="42" t="n"/>
      <c r="C10" s="42" t="n"/>
      <c r="D10" s="42" t="n"/>
      <c r="E10" s="42" t="n"/>
      <c r="F10" s="42" t="n"/>
    </row>
    <row r="11" ht="31.5" customHeight="1" s="27">
      <c r="A11" s="42" t="n"/>
      <c r="B11" s="42" t="n"/>
      <c r="C11" s="42" t="n"/>
      <c r="D11" s="42" t="n"/>
      <c r="E11" s="42" t="n"/>
      <c r="F11" s="42" t="n"/>
    </row>
    <row r="12" ht="31.5" customHeight="1" s="27">
      <c r="A12" s="42" t="n"/>
      <c r="B12" s="42" t="n"/>
      <c r="C12" s="42" t="n"/>
      <c r="D12" s="42" t="n"/>
      <c r="E12" s="42" t="n"/>
      <c r="F12" s="42" t="n"/>
    </row>
    <row r="13" ht="31.5" customHeight="1" s="27">
      <c r="A13" s="42" t="n"/>
      <c r="B13" s="42" t="n"/>
      <c r="C13" s="42" t="n"/>
      <c r="D13" s="42" t="n"/>
      <c r="E13" s="42" t="n"/>
      <c r="F13" s="42" t="n"/>
    </row>
    <row r="14" ht="31.5" customHeight="1" s="27">
      <c r="A14" s="42" t="n"/>
      <c r="B14" s="42" t="n"/>
      <c r="C14" s="42" t="n"/>
      <c r="D14" s="42" t="n"/>
      <c r="E14" s="42" t="n"/>
      <c r="F14" s="42" t="n"/>
    </row>
    <row r="15" ht="31.5" customHeight="1" s="27">
      <c r="A15" s="42" t="n"/>
      <c r="B15" s="42" t="n"/>
      <c r="C15" s="42" t="n"/>
      <c r="D15" s="42" t="n"/>
      <c r="E15" s="42" t="n"/>
      <c r="F15" s="42" t="n"/>
    </row>
    <row r="16" ht="31.5" customHeight="1" s="27">
      <c r="A16" s="42" t="n"/>
      <c r="B16" s="42" t="n"/>
      <c r="C16" s="42" t="n"/>
      <c r="D16" s="42" t="n"/>
      <c r="E16" s="42" t="n"/>
      <c r="F16" s="42" t="n"/>
    </row>
    <row r="17" ht="31.5" customHeight="1" s="27">
      <c r="A17" s="42" t="n"/>
      <c r="B17" s="42" t="n"/>
      <c r="C17" s="42" t="n"/>
      <c r="D17" s="42" t="n"/>
      <c r="E17" s="42" t="n"/>
      <c r="F17" s="42" t="n"/>
    </row>
    <row r="18" ht="31.5" customHeight="1" s="27">
      <c r="A18" s="42" t="n"/>
      <c r="B18" s="42" t="n"/>
      <c r="C18" s="42" t="n"/>
      <c r="D18" s="42" t="n"/>
      <c r="E18" s="42" t="n"/>
      <c r="F18" s="42" t="n"/>
    </row>
    <row r="19" ht="31.5" customHeight="1" s="27">
      <c r="A19" s="42" t="n"/>
      <c r="B19" s="42" t="n"/>
      <c r="C19" s="42" t="n"/>
      <c r="D19" s="42" t="n"/>
      <c r="E19" s="42" t="n"/>
      <c r="F19" s="42" t="n"/>
    </row>
    <row r="20" ht="31.5" customHeight="1" s="27">
      <c r="A20" s="42" t="n"/>
      <c r="B20" s="42" t="n"/>
      <c r="C20" s="42" t="n"/>
      <c r="D20" s="42" t="n"/>
      <c r="E20" s="42" t="n"/>
      <c r="F20" s="42" t="n"/>
    </row>
    <row r="21" ht="31.5" customHeight="1" s="27">
      <c r="A21" s="42" t="n"/>
      <c r="B21" s="42" t="n"/>
      <c r="C21" s="42" t="n"/>
      <c r="D21" s="42" t="n"/>
      <c r="E21" s="42" t="n"/>
      <c r="F21" s="42" t="n"/>
    </row>
    <row r="22" ht="31.5" customHeight="1" s="27">
      <c r="A22" s="42" t="n"/>
      <c r="B22" s="42" t="n"/>
      <c r="C22" s="42" t="n"/>
      <c r="D22" s="42" t="n"/>
      <c r="E22" s="42" t="n"/>
      <c r="F22" s="42" t="n"/>
    </row>
    <row r="23" ht="31.5" customHeight="1" s="27">
      <c r="A23" s="42" t="n"/>
      <c r="B23" s="42" t="n"/>
      <c r="C23" s="42" t="n"/>
      <c r="D23" s="42" t="n"/>
      <c r="E23" s="42" t="n"/>
      <c r="F23" s="42" t="n"/>
    </row>
    <row r="24" ht="31.5" customHeight="1" s="27">
      <c r="A24" s="42" t="n"/>
      <c r="B24" s="42" t="n"/>
      <c r="C24" s="42" t="n"/>
      <c r="D24" s="42" t="n"/>
      <c r="E24" s="42" t="n"/>
      <c r="F24" s="42" t="n"/>
    </row>
  </sheetData>
  <mergeCells count="2">
    <mergeCell ref="A2:F2"/>
    <mergeCell ref="A1:F1"/>
  </mergeCells>
  <dataValidations count="4">
    <dataValidation sqref="C5:C24" showDropDown="0" showInputMessage="0" showErrorMessage="0" allowBlank="1" type="list" errorStyle="stop" operator="between">
      <formula1>"deklarativní,aplikační,hodnoticí"</formula1>
      <formula2>0</formula2>
    </dataValidation>
    <dataValidation sqref="D5:D24" showDropDown="0" showInputMessage="0" showErrorMessage="0" allowBlank="1" type="list" errorStyle="stop" operator="between">
      <formula1>"ano,ne"</formula1>
      <formula2>0</formula2>
    </dataValidation>
    <dataValidation sqref="E5:E24" showDropDown="0" showInputMessage="0" showErrorMessage="0" allowBlank="1" type="list" errorStyle="stop" operator="between">
      <formula1>"1,2,3,4,5,Capstone"</formula1>
      <formula2>0</formula2>
    </dataValidation>
    <dataValidation sqref="F5:F24" showDropDown="0" showInputMessage="0" showErrorMessage="0" allowBlank="1" type="list" errorStyle="stop" operator="between">
      <formula1>"1 — Zapamatovat,2 — Porozumět,3 — Aplikovat,4 — Analyzovat,5 — Hodnotit,6 — Tvořit"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26" min="1" max="1"/>
    <col width="40" customWidth="1" style="26" min="2" max="4"/>
  </cols>
  <sheetData>
    <row r="1" ht="27.75" customHeight="1" s="27">
      <c r="A1" s="28" t="inlineStr">
        <is>
          <t>4  Větvení dle profilu uživatele</t>
        </is>
      </c>
    </row>
    <row r="2" ht="31.5" customHeight="1" s="27">
      <c r="A2" s="38" t="inlineStr">
        <is>
          <t>💡 Vyplňte, pokud se obsah kurzu výrazně liší dle role. Skupiny a jejich definice viz list CIS_Skupiny (větev „Učitel ZŠ/SŠ" ze starších podkladů patří pod Mentora). Per-modul větvení specifikujte v listech modulů.</t>
        </is>
      </c>
    </row>
    <row r="3"/>
    <row r="4" ht="15" customHeight="1" s="27">
      <c r="A4" s="48" t="inlineStr">
        <is>
          <t>Modul č.</t>
        </is>
      </c>
      <c r="B4" s="48" t="inlineStr">
        <is>
          <t>Akademik (vč. doktorandů)</t>
        </is>
      </c>
      <c r="C4" s="48" t="inlineStr">
        <is>
          <t>Mentor (provázející učitel ZŠ/SŠ)</t>
        </is>
      </c>
      <c r="D4" s="48" t="inlineStr">
        <is>
          <t>Student (Bc., Mgr.)</t>
        </is>
      </c>
    </row>
    <row r="5" ht="60" customHeight="1" s="27">
      <c r="A5" s="50" t="inlineStr">
        <is>
          <t>1</t>
        </is>
      </c>
      <c r="B5" s="42" t="n"/>
      <c r="C5" s="42" t="n"/>
      <c r="D5" s="42" t="n"/>
    </row>
    <row r="6" ht="60" customHeight="1" s="27">
      <c r="A6" s="50" t="inlineStr">
        <is>
          <t>2</t>
        </is>
      </c>
      <c r="B6" s="42" t="n"/>
      <c r="C6" s="42" t="n"/>
      <c r="D6" s="42" t="n"/>
    </row>
    <row r="7" ht="60" customHeight="1" s="27">
      <c r="A7" s="50" t="inlineStr">
        <is>
          <t>3</t>
        </is>
      </c>
      <c r="B7" s="42" t="n"/>
      <c r="C7" s="42" t="n"/>
      <c r="D7" s="42" t="n"/>
    </row>
    <row r="8" ht="60" customHeight="1" s="27">
      <c r="A8" s="50" t="inlineStr">
        <is>
          <t>4</t>
        </is>
      </c>
      <c r="B8" s="42" t="n"/>
      <c r="C8" s="42" t="n"/>
      <c r="D8" s="42" t="n"/>
    </row>
    <row r="9" ht="60" customHeight="1" s="27">
      <c r="A9" s="50" t="inlineStr">
        <is>
          <t>5</t>
        </is>
      </c>
      <c r="B9" s="42" t="n"/>
      <c r="C9" s="42" t="n"/>
      <c r="D9" s="42" t="n"/>
    </row>
    <row r="10" ht="60" customHeight="1" s="27">
      <c r="A10" s="50" t="inlineStr">
        <is>
          <t>Capstone</t>
        </is>
      </c>
      <c r="B10" s="42" t="n"/>
      <c r="C10" s="42" t="n"/>
      <c r="D10" s="42" t="n"/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6" min="1" max="1"/>
    <col width="9" customWidth="1" style="26" min="2" max="2"/>
    <col width="45" customWidth="1" style="26" min="3" max="3"/>
    <col width="55" customWidth="1" style="26" min="4" max="4"/>
  </cols>
  <sheetData>
    <row r="1" ht="27.75" customHeight="1" s="27">
      <c r="A1" s="28" t="inlineStr">
        <is>
          <t>5  Neurovědní principy — globální výběr pro kurz</t>
        </is>
      </c>
    </row>
    <row r="2" ht="39.75" customHeight="1" s="27">
      <c r="A2" s="38" t="inlineStr">
        <is>
          <t>💡 Zaškrtněte (X) principy integrované v kurzu jako celku. Kompletní seznam s definicemi viz list 'CIS_Neuroveda'. Implementaci v konkrétním modulu uveďte v listu daného modulu.</t>
        </is>
      </c>
    </row>
    <row r="3"/>
    <row r="4" ht="15" customHeight="1" s="27">
      <c r="A4" s="48" t="inlineStr">
        <is>
          <t>✓</t>
        </is>
      </c>
      <c r="B4" s="48" t="inlineStr">
        <is>
          <t>Kód</t>
        </is>
      </c>
      <c r="C4" s="48" t="inlineStr">
        <is>
          <t>Princip (CZ / EN)</t>
        </is>
      </c>
      <c r="D4" s="48" t="inlineStr">
        <is>
          <t>Stručně</t>
        </is>
      </c>
    </row>
    <row r="5" ht="36" customHeight="1" s="27">
      <c r="A5" s="49" t="n"/>
      <c r="B5" s="50" t="inlineStr">
        <is>
          <t>NP-01</t>
        </is>
      </c>
      <c r="C5" s="33" t="inlineStr">
        <is>
          <t>Neuroplasticita / Neuroplasticity</t>
        </is>
      </c>
      <c r="D5" s="31" t="inlineStr">
        <is>
          <t>Mozek mění synapse podle zkušenosti — opakování přepisuje strukturu sítí.</t>
        </is>
      </c>
    </row>
    <row r="6" ht="36" customHeight="1" s="27">
      <c r="A6" s="49" t="n"/>
      <c r="B6" s="50" t="inlineStr">
        <is>
          <t>NP-02</t>
        </is>
      </c>
      <c r="C6" s="33" t="inlineStr">
        <is>
          <t>Distribuované opakování / Spaced Repetition</t>
        </is>
      </c>
      <c r="D6" s="31" t="inlineStr">
        <is>
          <t>Rozložené učení trvá déle než nárazové.</t>
        </is>
      </c>
    </row>
    <row r="7" ht="36" customHeight="1" s="27">
      <c r="A7" s="49" t="n"/>
      <c r="B7" s="50" t="inlineStr">
        <is>
          <t>NP-03</t>
        </is>
      </c>
      <c r="C7" s="33" t="inlineStr">
        <is>
          <t>Aktivní vybavování / Active Recall</t>
        </is>
      </c>
      <c r="D7" s="31" t="inlineStr">
        <is>
          <t>Vědomé vybavení posiluje paměť silněji než pasivní čtení.</t>
        </is>
      </c>
    </row>
    <row r="8" ht="36" customHeight="1" s="27">
      <c r="A8" s="49" t="n"/>
      <c r="B8" s="50" t="inlineStr">
        <is>
          <t>NP-04</t>
        </is>
      </c>
      <c r="C8" s="33" t="inlineStr">
        <is>
          <t>Žádoucí obtíže / Desirable Difficulties</t>
        </is>
      </c>
      <c r="D8" s="31" t="inlineStr">
        <is>
          <t>Mírná obtížnost prohlubuje zpracování a transfer.</t>
        </is>
      </c>
    </row>
    <row r="9" ht="36" customHeight="1" s="27">
      <c r="A9" s="49" t="n"/>
      <c r="B9" s="50" t="inlineStr">
        <is>
          <t>NP-05</t>
        </is>
      </c>
      <c r="C9" s="33" t="inlineStr">
        <is>
          <t>Prokládání / Interleaving</t>
        </is>
      </c>
      <c r="D9" s="31" t="inlineStr">
        <is>
          <t>Střídání úloh podporuje rozlišování konceptů a generalizaci.</t>
        </is>
      </c>
    </row>
    <row r="10" ht="36" customHeight="1" s="27">
      <c r="A10" s="49" t="n"/>
      <c r="B10" s="50" t="inlineStr">
        <is>
          <t>NP-06</t>
        </is>
      </c>
      <c r="C10" s="33" t="inlineStr">
        <is>
          <t>Duální kódování / Dual Coding</t>
        </is>
      </c>
      <c r="D10" s="31" t="inlineStr">
        <is>
          <t>Text + vizuál = dvě paměťové stopy, lepší zapamatování.</t>
        </is>
      </c>
    </row>
    <row r="11" ht="36" customHeight="1" s="27">
      <c r="A11" s="49" t="n"/>
      <c r="B11" s="50" t="inlineStr">
        <is>
          <t>NP-07</t>
        </is>
      </c>
      <c r="C11" s="33" t="inlineStr">
        <is>
          <t>Kognitivní zátěž / Cognitive Load Theory</t>
        </is>
      </c>
      <c r="D11" s="31" t="inlineStr">
        <is>
          <t>Pracovní paměť ~4±1 prvků; přetížení blokuje učení.</t>
        </is>
      </c>
    </row>
    <row r="12" ht="36" customHeight="1" s="27">
      <c r="A12" s="49" t="n"/>
      <c r="B12" s="50" t="inlineStr">
        <is>
          <t>NP-08</t>
        </is>
      </c>
      <c r="C12" s="33" t="inlineStr">
        <is>
          <t>Elaborativní kódování / Elaborative Encoding</t>
        </is>
      </c>
      <c r="D12" s="31" t="inlineStr">
        <is>
          <t>Propojení s existujícími znalostmi tvoří hustou síť asociací.</t>
        </is>
      </c>
    </row>
    <row r="13" ht="36" customHeight="1" s="27">
      <c r="A13" s="49" t="n"/>
      <c r="B13" s="50" t="inlineStr">
        <is>
          <t>NP-09</t>
        </is>
      </c>
      <c r="C13" s="33" t="inlineStr">
        <is>
          <t>Efekt generování / Generation Effect</t>
        </is>
      </c>
      <c r="D13" s="31" t="inlineStr">
        <is>
          <t>Sám vytvořená informace se pamatuje lépe než přijatá.</t>
        </is>
      </c>
    </row>
    <row r="14" ht="36" customHeight="1" s="27">
      <c r="A14" s="49" t="n"/>
      <c r="B14" s="50" t="inlineStr">
        <is>
          <t>NP-10</t>
        </is>
      </c>
      <c r="C14" s="33" t="inlineStr">
        <is>
          <t>Testovací efekt / Testing Effect</t>
        </is>
      </c>
      <c r="D14" s="31" t="inlineStr">
        <is>
          <t>Testování samo o sobě konsoliduje dlouhodobou paměť.</t>
        </is>
      </c>
    </row>
    <row r="15" ht="36" customHeight="1" s="27">
      <c r="A15" s="49" t="n"/>
      <c r="B15" s="50" t="inlineStr">
        <is>
          <t>NP-11</t>
        </is>
      </c>
      <c r="C15" s="33" t="inlineStr">
        <is>
          <t>Predikční chyba / Reward Prediction Error</t>
        </is>
      </c>
      <c r="D15" s="31" t="inlineStr">
        <is>
          <t>Překvapení (pozit. i negat.) řídí dopaminové učení.</t>
        </is>
      </c>
    </row>
    <row r="16" ht="36" customHeight="1" s="27">
      <c r="A16" s="49" t="n"/>
      <c r="B16" s="50" t="inlineStr">
        <is>
          <t>NP-12</t>
        </is>
      </c>
      <c r="C16" s="33" t="inlineStr">
        <is>
          <t>Konsolidace ve spánku / Sleep-Dependent Consolidation</t>
        </is>
      </c>
      <c r="D16" s="31" t="inlineStr">
        <is>
          <t>Spánek přepisuje paměť z hipokampu do neokortexu.</t>
        </is>
      </c>
    </row>
    <row r="17" ht="36" customHeight="1" s="27">
      <c r="A17" s="49" t="n"/>
      <c r="B17" s="50" t="inlineStr">
        <is>
          <t>NP-13</t>
        </is>
      </c>
      <c r="C17" s="33" t="inlineStr">
        <is>
          <t>Pozornost a pracovní paměť / Attention &amp; Working Memory</t>
        </is>
      </c>
      <c r="D17" s="31" t="inlineStr">
        <is>
          <t>Bez selektivní pozornosti nedochází ke kódování.</t>
        </is>
      </c>
    </row>
    <row r="18" ht="36" customHeight="1" s="27">
      <c r="A18" s="49" t="n"/>
      <c r="B18" s="50" t="inlineStr">
        <is>
          <t>NP-14</t>
        </is>
      </c>
      <c r="C18" s="33" t="inlineStr">
        <is>
          <t>Slučování do bloků / Chunking</t>
        </is>
      </c>
      <c r="D18" s="31" t="inlineStr">
        <is>
          <t>Sdružování info do bloků zvyšuje efektivní kapacitu paměti.</t>
        </is>
      </c>
    </row>
    <row r="19" ht="36" customHeight="1" s="27">
      <c r="A19" s="49" t="n"/>
      <c r="B19" s="50" t="inlineStr">
        <is>
          <t>NP-15</t>
        </is>
      </c>
      <c r="C19" s="33" t="inlineStr">
        <is>
          <t>Metakognice / Metacognition</t>
        </is>
      </c>
      <c r="D19" s="31" t="inlineStr">
        <is>
          <t>Přemýšlení o vlastním myšlení; sledování porozumění.</t>
        </is>
      </c>
    </row>
    <row r="20" ht="36" customHeight="1" s="27">
      <c r="A20" s="49" t="n"/>
      <c r="B20" s="50" t="inlineStr">
        <is>
          <t>NP-16</t>
        </is>
      </c>
      <c r="C20" s="33" t="inlineStr">
        <is>
          <t>Zrcadlové neurony / Mirror Neurons</t>
        </is>
      </c>
      <c r="D20" s="31" t="inlineStr">
        <is>
          <t>Pozorování postupu aktivuje stejné okruhy jako provádění.</t>
        </is>
      </c>
    </row>
    <row r="21" ht="36" customHeight="1" s="27">
      <c r="A21" s="49" t="n"/>
      <c r="B21" s="50" t="inlineStr">
        <is>
          <t>NP-17</t>
        </is>
      </c>
      <c r="C21" s="33" t="inlineStr">
        <is>
          <t>Stav plynutí / Flow State</t>
        </is>
      </c>
      <c r="D21" s="31" t="inlineStr">
        <is>
          <t>Optimální poměr výzvy a dovednosti maximalizuje učení.</t>
        </is>
      </c>
    </row>
    <row r="22" ht="36" customHeight="1" s="27">
      <c r="A22" s="49" t="n"/>
      <c r="B22" s="50" t="inlineStr">
        <is>
          <t>NP-18</t>
        </is>
      </c>
      <c r="C22" s="33" t="inlineStr">
        <is>
          <t>Okamžitá zpětná vazba / Immediate Feedback</t>
        </is>
      </c>
      <c r="D22" s="31" t="inlineStr">
        <is>
          <t>Rychlá konkrétní ZV opraví chybu před zafixováním.</t>
        </is>
      </c>
    </row>
    <row r="23" ht="36" customHeight="1" s="27">
      <c r="A23" s="49" t="n"/>
      <c r="B23" s="50" t="inlineStr">
        <is>
          <t>NP-19</t>
        </is>
      </c>
      <c r="C23" s="33" t="inlineStr">
        <is>
          <t>Vtělené poznávání / Embodied Cognition</t>
        </is>
      </c>
      <c r="D23" s="31" t="inlineStr">
        <is>
          <t>Tělesné zapojení posiluje kognitivní zpracování.</t>
        </is>
      </c>
    </row>
    <row r="24" ht="36" customHeight="1" s="27">
      <c r="A24" s="49" t="n"/>
      <c r="B24" s="50" t="inlineStr">
        <is>
          <t>NP-20</t>
        </is>
      </c>
      <c r="C24" s="33" t="inlineStr">
        <is>
          <t>Schémata / Schema Theory</t>
        </is>
      </c>
      <c r="D24" s="31" t="inlineStr">
        <is>
          <t>Nové info se ukládá snáz, lze-li připojit ke schématu.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6" min="1" max="1"/>
    <col width="42" customWidth="1" style="26" min="2" max="2"/>
    <col width="5" customWidth="1" style="26" min="3" max="3"/>
    <col width="42" customWidth="1" style="26" min="4" max="4"/>
  </cols>
  <sheetData>
    <row r="1" ht="27.75" customHeight="1" s="27">
      <c r="A1" s="28" t="inlineStr">
        <is>
          <t>6  AI principy kurzu</t>
        </is>
      </c>
    </row>
    <row r="2" ht="24" customHeight="1" s="27">
      <c r="A2" s="38" t="inlineStr">
        <is>
          <t>💡 Zaškrtněte (X) přístupy k AI, které kurz aktivně využívá nebo rozvíjí.</t>
        </is>
      </c>
    </row>
    <row r="3"/>
    <row r="4" ht="21.75" customHeight="1" s="27">
      <c r="A4" s="42" t="n"/>
      <c r="B4" s="33" t="inlineStr">
        <is>
          <t>AI jako partner v dialogu</t>
        </is>
      </c>
      <c r="C4" s="42" t="n"/>
      <c r="D4" s="33" t="inlineStr">
        <is>
          <t>AI jako scaffold (podpora, ne náhrada)</t>
        </is>
      </c>
    </row>
    <row r="5" ht="21.75" customHeight="1" s="27">
      <c r="A5" s="42" t="n"/>
      <c r="B5" s="33" t="inlineStr">
        <is>
          <t>AI jako hodnotitel výstupu</t>
        </is>
      </c>
      <c r="C5" s="42" t="n"/>
      <c r="D5" s="33" t="inlineStr">
        <is>
          <t>AI pro generování variant a alternativ</t>
        </is>
      </c>
    </row>
    <row r="6" ht="21.75" customHeight="1" s="27">
      <c r="A6" s="42" t="n"/>
      <c r="B6" s="33" t="inlineStr">
        <is>
          <t>AI pro personalizaci obsahu</t>
        </is>
      </c>
      <c r="C6" s="42" t="n"/>
      <c r="D6" s="33" t="inlineStr">
        <is>
          <t>AI pro zpětnou vazbu v reálném čase</t>
        </is>
      </c>
    </row>
    <row r="7" ht="21.75" customHeight="1" s="27">
      <c r="A7" s="42" t="n"/>
      <c r="B7" s="33" t="inlineStr">
        <is>
          <t>Kritické hodnocení AI výstupů</t>
        </is>
      </c>
      <c r="C7" s="42" t="n"/>
      <c r="D7" s="33" t="inlineStr">
        <is>
          <t>Prompt engineering jako dovednost</t>
        </is>
      </c>
    </row>
    <row r="8" ht="21.75" customHeight="1" s="27">
      <c r="A8" s="42" t="n"/>
      <c r="B8" s="33" t="inlineStr">
        <is>
          <t>Rozpoznání halucinací a ověřování</t>
        </is>
      </c>
      <c r="C8" s="42" t="n"/>
      <c r="D8" s="33" t="inlineStr">
        <is>
          <t>Multimodalita (text + obraz + zvuk)</t>
        </is>
      </c>
    </row>
    <row r="9" ht="21.75" customHeight="1" s="27">
      <c r="A9" s="42" t="n"/>
      <c r="B9" s="33" t="inlineStr">
        <is>
          <t>Sokratovský dialog s AI</t>
        </is>
      </c>
      <c r="C9" s="42" t="n"/>
      <c r="D9" s="33" t="inlineStr">
        <is>
          <t>AI jako zrcadlo pro reflexi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6" min="1" max="1"/>
    <col width="8" customWidth="1" style="26" min="2" max="2"/>
    <col width="70" customWidth="1" style="26" min="3" max="3"/>
  </cols>
  <sheetData>
    <row r="1" ht="27.75" customHeight="1" s="27">
      <c r="A1" s="28" t="inlineStr">
        <is>
          <t>7  KRAUU — kompetence pokryté kurzem</t>
        </is>
      </c>
    </row>
    <row r="2" ht="39.75" customHeight="1" s="27">
      <c r="A2" s="38" t="inlineStr">
        <is>
          <t>💡 Zaškrtněte (X) kompetence KRAUU, k jejichž rozvoji kurz přispívá. Mapování je interní — uživateli se nezobrazuje. Cílí primárně na Úroveň 1 (absolvent/ka). Kompletní seznam s popisy viz list 'CIS_KRAUU'.</t>
        </is>
      </c>
    </row>
    <row r="3"/>
    <row r="4" ht="15" customHeight="1" s="27">
      <c r="A4" s="48" t="inlineStr">
        <is>
          <t>✓</t>
        </is>
      </c>
      <c r="B4" s="48" t="inlineStr">
        <is>
          <t>Kód</t>
        </is>
      </c>
      <c r="C4" s="48" t="inlineStr">
        <is>
          <t>Kompetence</t>
        </is>
      </c>
    </row>
    <row r="5" ht="21.75" customHeight="1" s="27">
      <c r="A5" s="49" t="n"/>
      <c r="B5" s="50" t="inlineStr">
        <is>
          <t>1.1</t>
        </is>
      </c>
      <c r="C5" s="33" t="inlineStr">
        <is>
          <t>Rozumí vyučovaným oborům a dále se v nich rozvíjí</t>
        </is>
      </c>
    </row>
    <row r="6" ht="21.75" customHeight="1" s="27">
      <c r="A6" s="49" t="n"/>
      <c r="B6" s="50" t="inlineStr">
        <is>
          <t>1.2</t>
        </is>
      </c>
      <c r="C6" s="33" t="inlineStr">
        <is>
          <t>Didakticky zprostředkovává obsah žákům</t>
        </is>
      </c>
    </row>
    <row r="7" ht="21.75" customHeight="1" s="27">
      <c r="A7" s="49" t="n"/>
      <c r="B7" s="50" t="inlineStr">
        <is>
          <t>2.1</t>
        </is>
      </c>
      <c r="C7" s="33" t="inlineStr">
        <is>
          <t>Nastavuje cíle výuky</t>
        </is>
      </c>
    </row>
    <row r="8" ht="21.75" customHeight="1" s="27">
      <c r="A8" s="49" t="n"/>
      <c r="B8" s="50" t="inlineStr">
        <is>
          <t>2.2</t>
        </is>
      </c>
      <c r="C8" s="33" t="inlineStr">
        <is>
          <t>Poznává vzdělávací potřeby a plánuje výuku</t>
        </is>
      </c>
    </row>
    <row r="9" ht="21.75" customHeight="1" s="27">
      <c r="A9" s="49" t="n"/>
      <c r="B9" s="50" t="inlineStr">
        <is>
          <t>2.3</t>
        </is>
      </c>
      <c r="C9" s="33" t="inlineStr">
        <is>
          <t>Podporuje zvídavost a motivaci žáků</t>
        </is>
      </c>
    </row>
    <row r="10" ht="21.75" customHeight="1" s="27">
      <c r="A10" s="49" t="n"/>
      <c r="B10" s="50" t="inlineStr">
        <is>
          <t>2.4</t>
        </is>
      </c>
      <c r="C10" s="33" t="inlineStr">
        <is>
          <t>Efektivně vede výuku a zjišťuje porozumění</t>
        </is>
      </c>
    </row>
    <row r="11" ht="21.75" customHeight="1" s="27">
      <c r="A11" s="49" t="n"/>
      <c r="B11" s="50" t="inlineStr">
        <is>
          <t>2.5</t>
        </is>
      </c>
      <c r="C11" s="33" t="inlineStr">
        <is>
          <t>Reflektuje výuku</t>
        </is>
      </c>
    </row>
    <row r="12" ht="21.75" customHeight="1" s="27">
      <c r="A12" s="49" t="n"/>
      <c r="B12" s="50" t="inlineStr">
        <is>
          <t>3.1</t>
        </is>
      </c>
      <c r="C12" s="33" t="inlineStr">
        <is>
          <t>Vytváří bezpečné prostředí pro učení</t>
        </is>
      </c>
    </row>
    <row r="13" ht="21.75" customHeight="1" s="27">
      <c r="A13" s="49" t="n"/>
      <c r="B13" s="50" t="inlineStr">
        <is>
          <t>3.2</t>
        </is>
      </c>
      <c r="C13" s="33" t="inlineStr">
        <is>
          <t>Vede žáky k chování podporujícímu učení</t>
        </is>
      </c>
    </row>
    <row r="14" ht="21.75" customHeight="1" s="27">
      <c r="A14" s="49" t="n"/>
      <c r="B14" s="50" t="inlineStr">
        <is>
          <t>3.3</t>
        </is>
      </c>
      <c r="C14" s="33" t="inlineStr">
        <is>
          <t>Uspořádání fyzického a digitálního prostředí</t>
        </is>
      </c>
    </row>
    <row r="15" ht="21.75" customHeight="1" s="27">
      <c r="A15" s="49" t="n"/>
      <c r="B15" s="50" t="inlineStr">
        <is>
          <t>4.1</t>
        </is>
      </c>
      <c r="C15" s="33" t="inlineStr">
        <is>
          <t>Hodnotí na základě kritérií</t>
        </is>
      </c>
    </row>
    <row r="16" ht="21.75" customHeight="1" s="27">
      <c r="A16" s="49" t="n"/>
      <c r="B16" s="50" t="inlineStr">
        <is>
          <t>4.2</t>
        </is>
      </c>
      <c r="C16" s="33" t="inlineStr">
        <is>
          <t>Poskytuje a přijímá zpětnou vazbu</t>
        </is>
      </c>
    </row>
    <row r="17" ht="21.75" customHeight="1" s="27">
      <c r="A17" s="49" t="n"/>
      <c r="B17" s="50" t="inlineStr">
        <is>
          <t>4.3</t>
        </is>
      </c>
      <c r="C17" s="33" t="inlineStr">
        <is>
          <t>Vede žáky k reflexi jejich učení</t>
        </is>
      </c>
    </row>
    <row r="18" ht="21.75" customHeight="1" s="27">
      <c r="A18" s="49" t="n"/>
      <c r="B18" s="50" t="inlineStr">
        <is>
          <t>5.1</t>
        </is>
      </c>
      <c r="C18" s="33" t="inlineStr">
        <is>
          <t>Spolupracuje s kolegy a kolegyněmi</t>
        </is>
      </c>
    </row>
    <row r="19" ht="21.75" customHeight="1" s="27">
      <c r="A19" s="49" t="n"/>
      <c r="B19" s="50" t="inlineStr">
        <is>
          <t>5.2</t>
        </is>
      </c>
      <c r="C19" s="33" t="inlineStr">
        <is>
          <t>Spolupracuje s rodiči a širší komunitou školy</t>
        </is>
      </c>
    </row>
    <row r="20" ht="21.75" customHeight="1" s="27">
      <c r="A20" s="49" t="n"/>
      <c r="B20" s="50" t="inlineStr">
        <is>
          <t>6.1</t>
        </is>
      </c>
      <c r="C20" s="33" t="inlineStr">
        <is>
          <t>Utváření profesního sebepojetí a rozvoj</t>
        </is>
      </c>
    </row>
    <row r="21" ht="21.75" customHeight="1" s="27">
      <c r="A21" s="49" t="n"/>
      <c r="B21" s="50" t="inlineStr">
        <is>
          <t>6.2</t>
        </is>
      </c>
      <c r="C21" s="33" t="inlineStr">
        <is>
          <t>Odpovědná práce s informacemi a demokratické hodnoty</t>
        </is>
      </c>
    </row>
    <row r="22" ht="21.75" customHeight="1" s="27">
      <c r="A22" s="49" t="n"/>
      <c r="B22" s="50" t="inlineStr">
        <is>
          <t>6.3</t>
        </is>
      </c>
      <c r="C22" s="33" t="inlineStr">
        <is>
          <t>Duševní zdraví a psychohygiena</t>
        </is>
      </c>
    </row>
  </sheetData>
  <mergeCells count="2">
    <mergeCell ref="A1:C1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50" customWidth="1" style="26" min="2" max="2"/>
    <col width="40" customWidth="1" style="26" min="3" max="3"/>
    <col width="18" customWidth="1" style="26" min="4" max="4"/>
  </cols>
  <sheetData>
    <row r="1" ht="27.75" customHeight="1" s="27">
      <c r="A1" s="28" t="inlineStr">
        <is>
          <t>8  Vzory a antipatterns pro agenta</t>
        </is>
      </c>
    </row>
    <row r="2" ht="31.5" customHeight="1" s="27">
      <c r="A2" s="38" t="inlineStr">
        <is>
          <t>💡 Pravidla pro agenta. Typ = MUSÍ (pozitivní vzor) / NESMÍ (antipattern). Sloupec 'Kde' = globálně pro celý kurz, nebo číslo modulu.</t>
        </is>
      </c>
    </row>
    <row r="3"/>
    <row r="4" ht="26.85" customHeight="1" s="27">
      <c r="A4" s="48" t="inlineStr">
        <is>
          <t>Typ</t>
        </is>
      </c>
      <c r="B4" s="48" t="inlineStr">
        <is>
          <t>Pravidlo (co agent MUSÍ/NESMÍ)</t>
        </is>
      </c>
      <c r="C4" s="48" t="inlineStr">
        <is>
          <t>Zdůvodnění (1–2 věty)</t>
        </is>
      </c>
      <c r="D4" s="48" t="inlineStr">
        <is>
          <t>Kde (modul / globálně)</t>
        </is>
      </c>
    </row>
    <row r="5" ht="42" customHeight="1" s="27">
      <c r="A5" s="42" t="n"/>
      <c r="B5" s="42" t="n"/>
      <c r="C5" s="42" t="n"/>
      <c r="D5" s="42" t="n"/>
    </row>
    <row r="6" ht="42" customHeight="1" s="27">
      <c r="A6" s="42" t="n"/>
      <c r="B6" s="42" t="n"/>
      <c r="C6" s="42" t="n"/>
      <c r="D6" s="42" t="n"/>
    </row>
    <row r="7" ht="42" customHeight="1" s="27">
      <c r="A7" s="42" t="n"/>
      <c r="B7" s="42" t="n"/>
      <c r="C7" s="42" t="n"/>
      <c r="D7" s="42" t="n"/>
    </row>
    <row r="8" ht="42" customHeight="1" s="27">
      <c r="A8" s="42" t="n"/>
      <c r="B8" s="42" t="n"/>
      <c r="C8" s="42" t="n"/>
      <c r="D8" s="42" t="n"/>
    </row>
    <row r="9" ht="42" customHeight="1" s="27">
      <c r="A9" s="42" t="n"/>
      <c r="B9" s="42" t="n"/>
      <c r="C9" s="42" t="n"/>
      <c r="D9" s="42" t="n"/>
    </row>
    <row r="10" ht="42" customHeight="1" s="27">
      <c r="A10" s="42" t="n"/>
      <c r="B10" s="42" t="n"/>
      <c r="C10" s="42" t="n"/>
      <c r="D10" s="42" t="n"/>
    </row>
    <row r="11" ht="42" customHeight="1" s="27">
      <c r="A11" s="42" t="n"/>
      <c r="B11" s="42" t="n"/>
      <c r="C11" s="42" t="n"/>
      <c r="D11" s="42" t="n"/>
    </row>
    <row r="12" ht="42" customHeight="1" s="27">
      <c r="A12" s="42" t="n"/>
      <c r="B12" s="42" t="n"/>
      <c r="C12" s="42" t="n"/>
      <c r="D12" s="42" t="n"/>
    </row>
    <row r="13" ht="42" customHeight="1" s="27">
      <c r="A13" s="42" t="n"/>
      <c r="B13" s="42" t="n"/>
      <c r="C13" s="42" t="n"/>
      <c r="D13" s="42" t="n"/>
    </row>
    <row r="14" ht="42" customHeight="1" s="27">
      <c r="A14" s="42" t="n"/>
      <c r="B14" s="42" t="n"/>
      <c r="C14" s="42" t="n"/>
      <c r="D14" s="42" t="n"/>
    </row>
    <row r="15" ht="42" customHeight="1" s="27">
      <c r="A15" s="42" t="n"/>
      <c r="B15" s="42" t="n"/>
      <c r="C15" s="42" t="n"/>
      <c r="D15" s="42" t="n"/>
    </row>
    <row r="16" ht="42" customHeight="1" s="27">
      <c r="A16" s="42" t="n"/>
      <c r="B16" s="42" t="n"/>
      <c r="C16" s="42" t="n"/>
      <c r="D16" s="42" t="n"/>
    </row>
    <row r="17" ht="42" customHeight="1" s="27">
      <c r="A17" s="42" t="n"/>
      <c r="B17" s="42" t="n"/>
      <c r="C17" s="42" t="n"/>
      <c r="D17" s="42" t="n"/>
    </row>
    <row r="18" ht="42" customHeight="1" s="27">
      <c r="A18" s="42" t="n"/>
      <c r="B18" s="42" t="n"/>
      <c r="C18" s="42" t="n"/>
      <c r="D18" s="42" t="n"/>
    </row>
    <row r="19" ht="42" customHeight="1" s="27">
      <c r="A19" s="42" t="n"/>
      <c r="B19" s="42" t="n"/>
      <c r="C19" s="42" t="n"/>
      <c r="D19" s="42" t="n"/>
    </row>
  </sheetData>
  <mergeCells count="2">
    <mergeCell ref="A1:D1"/>
    <mergeCell ref="A2:D2"/>
  </mergeCells>
  <dataValidations count="1">
    <dataValidation sqref="A5:A19" showDropDown="0" showInputMessage="0" showErrorMessage="0" allowBlank="1" type="list" errorStyle="stop" operator="between">
      <formula1>"MUSÍ,NESMÍ"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6" min="1" max="1"/>
    <col width="30" customWidth="1" style="26" min="2" max="2"/>
    <col width="55" customWidth="1" style="26" min="3" max="3"/>
    <col width="12" customWidth="1" style="26" min="4" max="4"/>
  </cols>
  <sheetData>
    <row r="1" ht="27.75" customHeight="1" s="27">
      <c r="A1" s="28" t="inlineStr">
        <is>
          <t>9  Finální artefakt kurzu</t>
        </is>
      </c>
    </row>
    <row r="2" ht="31.5" customHeight="1" s="27">
      <c r="A2" s="38" t="inlineStr">
        <is>
          <t>💡 ARTEFAKT je budován postupně přes F4 APLIKACE každého modulu. Badge je vázán na splnění finálního ověření (práh 75 %) + odevzdání artefaktu.</t>
        </is>
      </c>
    </row>
    <row r="3"/>
    <row r="4" ht="19.5" customHeight="1" s="27">
      <c r="A4" s="39" t="inlineStr">
        <is>
          <t>9.1  Definice artefaktu</t>
        </is>
      </c>
    </row>
    <row r="5" ht="37.5" customHeight="1" s="27">
      <c r="A5" s="30" t="inlineStr">
        <is>
          <t>Typ artefaktu</t>
        </is>
      </c>
      <c r="B5" s="40" t="n"/>
      <c r="C5" s="41" t="n"/>
      <c r="D5" s="41" t="n"/>
    </row>
    <row r="6" ht="37.5" customHeight="1" s="27">
      <c r="A6" s="30" t="inlineStr">
        <is>
          <t>Co musí artefakt obsahovat</t>
        </is>
      </c>
      <c r="B6" s="40" t="n"/>
      <c r="C6" s="41" t="n"/>
      <c r="D6" s="41" t="n"/>
    </row>
    <row r="7" ht="37.5" customHeight="1" s="27">
      <c r="A7" s="30" t="inlineStr">
        <is>
          <t>Co artefakt nesmí obsahovat</t>
        </is>
      </c>
      <c r="B7" s="40" t="n"/>
      <c r="C7" s="41" t="n"/>
      <c r="D7" s="41" t="n"/>
    </row>
    <row r="8" ht="37.5" customHeight="1" s="27">
      <c r="A8" s="30" t="inlineStr">
        <is>
          <t>Primární formát pro odevzdání</t>
        </is>
      </c>
      <c r="B8" s="40" t="n"/>
      <c r="C8" s="41" t="n"/>
      <c r="D8" s="41" t="n"/>
    </row>
    <row r="9" ht="37.5" customHeight="1" s="27">
      <c r="A9" s="30" t="inlineStr">
        <is>
          <t>Vstupuje do databáze scénářů?</t>
        </is>
      </c>
      <c r="B9" s="40" t="n"/>
      <c r="C9" s="41" t="n"/>
      <c r="D9" s="41" t="n"/>
    </row>
    <row r="10" ht="37.5" customHeight="1" s="27">
      <c r="A10" s="30" t="inlineStr">
        <is>
          <t>Podmínka vydání badge</t>
        </is>
      </c>
      <c r="B10" s="40" t="n"/>
      <c r="C10" s="41" t="n"/>
      <c r="D10" s="41" t="n"/>
    </row>
    <row r="11" ht="37.5" customHeight="1" s="27">
      <c r="A11" s="30" t="inlineStr">
        <is>
          <t>Patří k mikrocertifikátu</t>
        </is>
      </c>
      <c r="B11" s="40" t="n"/>
      <c r="C11" s="41" t="n"/>
      <c r="D11" s="41" t="n"/>
    </row>
    <row r="12"/>
    <row r="13" ht="19.5" customHeight="1" s="27">
      <c r="A13" s="39" t="inlineStr">
        <is>
          <t>9.2  Šablona artefaktu — povinné sekce</t>
        </is>
      </c>
    </row>
    <row r="14" ht="30" customHeight="1" s="27">
      <c r="A14" s="38" t="inlineStr">
        <is>
          <t>💡 Pokud má artefakt pevnou strukturu, popište povinné sekce. Agent předá uživateli jako pracovní dokument.</t>
        </is>
      </c>
    </row>
    <row r="15" ht="15" customHeight="1" s="27">
      <c r="A15" s="48" t="inlineStr">
        <is>
          <t>#</t>
        </is>
      </c>
      <c r="B15" s="48" t="inlineStr">
        <is>
          <t>Sekce artefaktu</t>
        </is>
      </c>
      <c r="C15" s="48" t="inlineStr">
        <is>
          <t>Co sekce obsahuje</t>
        </is>
      </c>
      <c r="D15" s="48" t="inlineStr">
        <is>
          <t>Povinná?</t>
        </is>
      </c>
    </row>
    <row r="16" ht="31.5" customHeight="1" s="27">
      <c r="A16" s="50" t="n">
        <v>1</v>
      </c>
      <c r="B16" s="42" t="n"/>
      <c r="C16" s="42" t="n"/>
      <c r="D16" s="42" t="n"/>
    </row>
    <row r="17" ht="31.5" customHeight="1" s="27">
      <c r="A17" s="50" t="n">
        <v>2</v>
      </c>
      <c r="B17" s="42" t="n"/>
      <c r="C17" s="42" t="n"/>
      <c r="D17" s="42" t="n"/>
    </row>
    <row r="18" ht="31.5" customHeight="1" s="27">
      <c r="A18" s="50" t="n">
        <v>3</v>
      </c>
      <c r="B18" s="42" t="n"/>
      <c r="C18" s="42" t="n"/>
      <c r="D18" s="42" t="n"/>
    </row>
    <row r="19" ht="31.5" customHeight="1" s="27">
      <c r="A19" s="50" t="n">
        <v>4</v>
      </c>
      <c r="B19" s="42" t="n"/>
      <c r="C19" s="42" t="n"/>
      <c r="D19" s="42" t="n"/>
    </row>
    <row r="20" ht="31.5" customHeight="1" s="27">
      <c r="A20" s="50" t="n">
        <v>5</v>
      </c>
      <c r="B20" s="42" t="n"/>
      <c r="C20" s="42" t="n"/>
      <c r="D20" s="42" t="n"/>
    </row>
    <row r="21" ht="31.5" customHeight="1" s="27">
      <c r="A21" s="50" t="n">
        <v>6</v>
      </c>
      <c r="B21" s="42" t="n"/>
      <c r="C21" s="42" t="n"/>
      <c r="D21" s="42" t="n"/>
    </row>
    <row r="22" ht="31.5" customHeight="1" s="27">
      <c r="A22" s="50" t="n">
        <v>7</v>
      </c>
      <c r="B22" s="42" t="n"/>
      <c r="C22" s="42" t="n"/>
      <c r="D22" s="42" t="n"/>
    </row>
    <row r="23" ht="31.5" customHeight="1" s="27">
      <c r="A23" s="50" t="n">
        <v>8</v>
      </c>
      <c r="B23" s="42" t="n"/>
      <c r="C23" s="42" t="n"/>
      <c r="D23" s="42" t="n"/>
    </row>
    <row r="24" ht="31.5" customHeight="1" s="27">
      <c r="A24" s="50" t="n">
        <v>9</v>
      </c>
      <c r="B24" s="42" t="n"/>
      <c r="C24" s="42" t="n"/>
      <c r="D24" s="42" t="n"/>
    </row>
    <row r="25" ht="31.5" customHeight="1" s="27">
      <c r="A25" s="50" t="n">
        <v>10</v>
      </c>
      <c r="B25" s="42" t="n"/>
      <c r="C25" s="42" t="n"/>
      <c r="D25" s="42" t="n"/>
    </row>
  </sheetData>
  <mergeCells count="12">
    <mergeCell ref="B10:D10"/>
    <mergeCell ref="A1:D1"/>
    <mergeCell ref="B11:D11"/>
    <mergeCell ref="B5:D5"/>
    <mergeCell ref="A4:D4"/>
    <mergeCell ref="B8:D8"/>
    <mergeCell ref="B9:D9"/>
    <mergeCell ref="A2:D2"/>
    <mergeCell ref="B7:D7"/>
    <mergeCell ref="B6:D6"/>
    <mergeCell ref="A13:D13"/>
    <mergeCell ref="A14:D14"/>
  </mergeCells>
  <dataValidations count="1">
    <dataValidation sqref="D16:D25" showDropDown="0" showInputMessage="0" showErrorMessage="0" allowBlank="1" type="list" errorStyle="stop" operator="between">
      <formula1>"ano,ne"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G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6" min="1" max="1"/>
    <col width="8" customWidth="1" style="26" min="2" max="2"/>
    <col width="10" customWidth="1" style="26" min="3" max="3"/>
    <col width="14" customWidth="1" style="26" min="4" max="4"/>
    <col width="35" customWidth="1" style="26" min="5" max="5"/>
    <col width="20" customWidth="1" style="26" min="6" max="6"/>
    <col width="14" customWidth="1" style="26" min="7" max="7"/>
  </cols>
  <sheetData>
    <row r="1" ht="27.75" customHeight="1" s="27">
      <c r="A1" s="28" t="inlineStr">
        <is>
          <t>10  Mediální přílohy — grafika a audio</t>
        </is>
      </c>
    </row>
    <row r="2" ht="49.5" customHeight="1" s="27">
      <c r="A2" s="38" t="inlineStr">
        <is>
          <t>⚠ Pojmenování souborů: [KOD_KURZU]-[MODUL]-[TYP]-[popis].[přípona]. Příklady: A1-M2-audio-uvod.mp3 | A1-M1-grafika-tokenizace.png. Podporované formáty: PNG, SVG, MP3. Video zatím není podporováno.</t>
        </is>
      </c>
    </row>
    <row r="3"/>
    <row r="4" ht="39.55" customHeight="1" s="27">
      <c r="A4" s="48" t="inlineStr">
        <is>
          <t>Název souboru</t>
        </is>
      </c>
      <c r="B4" s="48" t="inlineStr">
        <is>
          <t>Typ</t>
        </is>
      </c>
      <c r="C4" s="48" t="inlineStr">
        <is>
          <t>Modul č.</t>
        </is>
      </c>
      <c r="D4" s="48" t="inlineStr">
        <is>
          <t>Pozice v modulu (fáze)</t>
        </is>
      </c>
      <c r="E4" s="48" t="inlineStr">
        <is>
          <t>Alt text / popis</t>
        </is>
      </c>
      <c r="F4" s="48" t="inlineStr">
        <is>
          <t>Zdroj / licence</t>
        </is>
      </c>
      <c r="G4" s="48" t="inlineStr">
        <is>
          <t>Schválil</t>
        </is>
      </c>
    </row>
    <row r="5" ht="27.75" customHeight="1" s="27">
      <c r="A5" s="42" t="n"/>
      <c r="B5" s="42" t="n"/>
      <c r="C5" s="42" t="n"/>
      <c r="D5" s="42" t="n"/>
      <c r="E5" s="42" t="n"/>
      <c r="F5" s="42" t="n"/>
      <c r="G5" s="42" t="n"/>
    </row>
    <row r="6" ht="27.75" customHeight="1" s="27">
      <c r="A6" s="42" t="n"/>
      <c r="B6" s="42" t="n"/>
      <c r="C6" s="42" t="n"/>
      <c r="D6" s="42" t="n"/>
      <c r="E6" s="42" t="n"/>
      <c r="F6" s="42" t="n"/>
      <c r="G6" s="42" t="n"/>
    </row>
    <row r="7" ht="27.75" customHeight="1" s="27">
      <c r="A7" s="42" t="n"/>
      <c r="B7" s="42" t="n"/>
      <c r="C7" s="42" t="n"/>
      <c r="D7" s="42" t="n"/>
      <c r="E7" s="42" t="n"/>
      <c r="F7" s="42" t="n"/>
      <c r="G7" s="42" t="n"/>
    </row>
    <row r="8" ht="27.75" customHeight="1" s="27">
      <c r="A8" s="42" t="n"/>
      <c r="B8" s="42" t="n"/>
      <c r="C8" s="42" t="n"/>
      <c r="D8" s="42" t="n"/>
      <c r="E8" s="42" t="n"/>
      <c r="F8" s="42" t="n"/>
      <c r="G8" s="42" t="n"/>
    </row>
    <row r="9" ht="27.75" customHeight="1" s="27">
      <c r="A9" s="42" t="n"/>
      <c r="B9" s="42" t="n"/>
      <c r="C9" s="42" t="n"/>
      <c r="D9" s="42" t="n"/>
      <c r="E9" s="42" t="n"/>
      <c r="F9" s="42" t="n"/>
      <c r="G9" s="42" t="n"/>
    </row>
    <row r="10" ht="27.75" customHeight="1" s="27">
      <c r="A10" s="42" t="n"/>
      <c r="B10" s="42" t="n"/>
      <c r="C10" s="42" t="n"/>
      <c r="D10" s="42" t="n"/>
      <c r="E10" s="42" t="n"/>
      <c r="F10" s="42" t="n"/>
      <c r="G10" s="42" t="n"/>
    </row>
    <row r="11" ht="27.75" customHeight="1" s="27">
      <c r="A11" s="42" t="n"/>
      <c r="B11" s="42" t="n"/>
      <c r="C11" s="42" t="n"/>
      <c r="D11" s="42" t="n"/>
      <c r="E11" s="42" t="n"/>
      <c r="F11" s="42" t="n"/>
      <c r="G11" s="42" t="n"/>
    </row>
    <row r="12" ht="27.75" customHeight="1" s="27">
      <c r="A12" s="42" t="n"/>
      <c r="B12" s="42" t="n"/>
      <c r="C12" s="42" t="n"/>
      <c r="D12" s="42" t="n"/>
      <c r="E12" s="42" t="n"/>
      <c r="F12" s="42" t="n"/>
      <c r="G12" s="42" t="n"/>
    </row>
    <row r="13" ht="27.75" customHeight="1" s="27">
      <c r="A13" s="42" t="n"/>
      <c r="B13" s="42" t="n"/>
      <c r="C13" s="42" t="n"/>
      <c r="D13" s="42" t="n"/>
      <c r="E13" s="42" t="n"/>
      <c r="F13" s="42" t="n"/>
      <c r="G13" s="42" t="n"/>
    </row>
    <row r="14" ht="27.75" customHeight="1" s="27">
      <c r="A14" s="42" t="n"/>
      <c r="B14" s="42" t="n"/>
      <c r="C14" s="42" t="n"/>
      <c r="D14" s="42" t="n"/>
      <c r="E14" s="42" t="n"/>
      <c r="F14" s="42" t="n"/>
      <c r="G14" s="42" t="n"/>
    </row>
    <row r="15" ht="27.75" customHeight="1" s="27">
      <c r="A15" s="42" t="n"/>
      <c r="B15" s="42" t="n"/>
      <c r="C15" s="42" t="n"/>
      <c r="D15" s="42" t="n"/>
      <c r="E15" s="42" t="n"/>
      <c r="F15" s="42" t="n"/>
      <c r="G15" s="42" t="n"/>
    </row>
    <row r="16" ht="27.75" customHeight="1" s="27">
      <c r="A16" s="42" t="n"/>
      <c r="B16" s="42" t="n"/>
      <c r="C16" s="42" t="n"/>
      <c r="D16" s="42" t="n"/>
      <c r="E16" s="42" t="n"/>
      <c r="F16" s="42" t="n"/>
      <c r="G16" s="42" t="n"/>
    </row>
    <row r="17" ht="27.75" customHeight="1" s="27">
      <c r="A17" s="42" t="n"/>
      <c r="B17" s="42" t="n"/>
      <c r="C17" s="42" t="n"/>
      <c r="D17" s="42" t="n"/>
      <c r="E17" s="42" t="n"/>
      <c r="F17" s="42" t="n"/>
      <c r="G17" s="42" t="n"/>
    </row>
    <row r="18" ht="27.75" customHeight="1" s="27">
      <c r="A18" s="42" t="n"/>
      <c r="B18" s="42" t="n"/>
      <c r="C18" s="42" t="n"/>
      <c r="D18" s="42" t="n"/>
      <c r="E18" s="42" t="n"/>
      <c r="F18" s="42" t="n"/>
      <c r="G18" s="42" t="n"/>
    </row>
    <row r="19" ht="27.75" customHeight="1" s="27">
      <c r="A19" s="42" t="n"/>
      <c r="B19" s="42" t="n"/>
      <c r="C19" s="42" t="n"/>
      <c r="D19" s="42" t="n"/>
      <c r="E19" s="42" t="n"/>
      <c r="F19" s="42" t="n"/>
      <c r="G19" s="42" t="n"/>
    </row>
    <row r="20" ht="27.75" customHeight="1" s="27">
      <c r="A20" s="42" t="n"/>
      <c r="B20" s="42" t="n"/>
      <c r="C20" s="42" t="n"/>
      <c r="D20" s="42" t="n"/>
      <c r="E20" s="42" t="n"/>
      <c r="F20" s="42" t="n"/>
      <c r="G20" s="42" t="n"/>
    </row>
    <row r="21" ht="27.75" customHeight="1" s="27">
      <c r="A21" s="42" t="n"/>
      <c r="B21" s="42" t="n"/>
      <c r="C21" s="42" t="n"/>
      <c r="D21" s="42" t="n"/>
      <c r="E21" s="42" t="n"/>
      <c r="F21" s="42" t="n"/>
      <c r="G21" s="42" t="n"/>
    </row>
    <row r="22" ht="27.75" customHeight="1" s="27">
      <c r="A22" s="42" t="n"/>
      <c r="B22" s="42" t="n"/>
      <c r="C22" s="42" t="n"/>
      <c r="D22" s="42" t="n"/>
      <c r="E22" s="42" t="n"/>
      <c r="F22" s="42" t="n"/>
      <c r="G22" s="42" t="n"/>
    </row>
    <row r="23" ht="27.75" customHeight="1" s="27">
      <c r="A23" s="42" t="n"/>
      <c r="B23" s="42" t="n"/>
      <c r="C23" s="42" t="n"/>
      <c r="D23" s="42" t="n"/>
      <c r="E23" s="42" t="n"/>
      <c r="F23" s="42" t="n"/>
      <c r="G23" s="42" t="n"/>
    </row>
    <row r="24" ht="27.75" customHeight="1" s="27">
      <c r="A24" s="42" t="n"/>
      <c r="B24" s="42" t="n"/>
      <c r="C24" s="42" t="n"/>
      <c r="D24" s="42" t="n"/>
      <c r="E24" s="42" t="n"/>
      <c r="F24" s="42" t="n"/>
      <c r="G24" s="42" t="n"/>
    </row>
  </sheetData>
  <mergeCells count="2">
    <mergeCell ref="A2:G2"/>
    <mergeCell ref="A1:G1"/>
  </mergeCells>
  <dataValidations count="3">
    <dataValidation sqref="B5:B24" showDropDown="0" showInputMessage="0" showErrorMessage="0" allowBlank="1" type="list" errorStyle="stop" operator="between">
      <formula1>"PNG,SVG,MP3"</formula1>
      <formula2>0</formula2>
    </dataValidation>
    <dataValidation sqref="C5:C24" showDropDown="0" showInputMessage="0" showErrorMessage="0" allowBlank="1" type="list" errorStyle="stop" operator="between">
      <formula1>"1,2,3,4,5,Capstone,globální"</formula1>
      <formula2>0</formula2>
    </dataValidation>
    <dataValidation sqref="D5:D24" showDropDown="0" showInputMessage="0" showErrorMessage="0" allowBlank="1" type="list" errorStyle="stop" operator="between">
      <formula1>"F1,F2,F3,F4,napříč"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G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6" min="1" max="6"/>
    <col width="12" customWidth="1" style="26" min="7" max="7"/>
  </cols>
  <sheetData>
    <row r="1" ht="27.75" customHeight="1" s="27">
      <c r="A1" s="28" t="inlineStr">
        <is>
          <t>11  Rubrika hodnocení (finální ověření)</t>
        </is>
      </c>
    </row>
    <row r="2" ht="60" customHeight="1" s="27">
      <c r="A2" s="38" t="inlineStr">
        <is>
          <t>💡 Rubrika hodnotí FINÁLNÍ artefakt kurzu. Max. 5 kritérií × 5 úrovní. Mapování na badge: Začátek 0–20 % | Rozvoj 21–40 % | Způsobilost 41–60 % | Zdatnost 61–80 % | Mistrovství 81–100 %. Práh pro badge = 75 % (horní polovina pásma Zdatnosti). ⚠ Názvy úrovní jsou závazné — neměňte je.</t>
        </is>
      </c>
    </row>
    <row r="3"/>
    <row r="4" ht="19.5" customHeight="1" s="27">
      <c r="A4" s="39" t="inlineStr">
        <is>
          <t>11.1  Nastavení rubriky</t>
        </is>
      </c>
    </row>
    <row r="5" ht="37.5" customHeight="1" s="27">
      <c r="A5" s="30" t="inlineStr">
        <is>
          <t>Typ rubriky</t>
        </is>
      </c>
      <c r="B5" s="40" t="n"/>
      <c r="C5" s="41" t="n"/>
      <c r="D5" s="41" t="n"/>
      <c r="E5" s="41" t="n"/>
      <c r="F5" s="41" t="n"/>
      <c r="G5" s="41" t="n"/>
    </row>
    <row r="6" ht="37.5" customHeight="1" s="27">
      <c r="A6" s="30" t="inlineStr">
        <is>
          <t>Hodnotitel</t>
        </is>
      </c>
      <c r="B6" s="40" t="n"/>
      <c r="C6" s="41" t="n"/>
      <c r="D6" s="41" t="n"/>
      <c r="E6" s="41" t="n"/>
      <c r="F6" s="41" t="n"/>
      <c r="G6" s="41" t="n"/>
    </row>
    <row r="7" ht="37.5" customHeight="1" s="27">
      <c r="A7" s="30" t="inlineStr">
        <is>
          <t>Práh pro badge (%)</t>
        </is>
      </c>
      <c r="B7" s="40" t="n"/>
      <c r="C7" s="41" t="n"/>
      <c r="D7" s="41" t="n"/>
      <c r="E7" s="41" t="n"/>
      <c r="F7" s="41" t="n"/>
      <c r="G7" s="41" t="n"/>
    </row>
    <row r="8"/>
    <row r="9" ht="19.5" customHeight="1" s="27">
      <c r="A9" s="39" t="inlineStr">
        <is>
          <t>11.2  Tabulka 5 × 5 — kritéria a úrovně výkonu</t>
        </is>
      </c>
    </row>
    <row r="10" ht="26.85" customHeight="1" s="27">
      <c r="A10" s="48" t="inlineStr">
        <is>
          <t>Kritérium hodnocení</t>
        </is>
      </c>
      <c r="B10" s="48" t="inlineStr">
        <is>
          <t>Mistrovství 81–100 %</t>
        </is>
      </c>
      <c r="C10" s="48" t="inlineStr">
        <is>
          <t>Zdatnost 61–80 %</t>
        </is>
      </c>
      <c r="D10" s="48" t="inlineStr">
        <is>
          <t>Způsobilost 41–60 %</t>
        </is>
      </c>
      <c r="E10" s="48" t="inlineStr">
        <is>
          <t>Rozvoj 21–40 %</t>
        </is>
      </c>
      <c r="F10" s="48" t="inlineStr">
        <is>
          <t>Začátek 0–20 %</t>
        </is>
      </c>
      <c r="G10" s="48" t="inlineStr">
        <is>
          <t>Váha kritéria (%)</t>
        </is>
      </c>
    </row>
    <row r="11" ht="54.75" customHeight="1" s="27">
      <c r="A11" s="33" t="inlineStr">
        <is>
          <t>Kritérium 1</t>
        </is>
      </c>
      <c r="B11" s="42" t="n"/>
      <c r="C11" s="42" t="n"/>
      <c r="D11" s="42" t="n"/>
      <c r="E11" s="42" t="n"/>
      <c r="F11" s="42" t="n"/>
      <c r="G11" s="42" t="n"/>
    </row>
    <row r="12" ht="54.75" customHeight="1" s="27">
      <c r="A12" s="33" t="inlineStr">
        <is>
          <t>Kritérium 2</t>
        </is>
      </c>
      <c r="B12" s="42" t="n"/>
      <c r="C12" s="42" t="n"/>
      <c r="D12" s="42" t="n"/>
      <c r="E12" s="42" t="n"/>
      <c r="F12" s="42" t="n"/>
      <c r="G12" s="42" t="n"/>
    </row>
    <row r="13" ht="54.75" customHeight="1" s="27">
      <c r="A13" s="33" t="inlineStr">
        <is>
          <t>Kritérium 3</t>
        </is>
      </c>
      <c r="B13" s="42" t="n"/>
      <c r="C13" s="42" t="n"/>
      <c r="D13" s="42" t="n"/>
      <c r="E13" s="42" t="n"/>
      <c r="F13" s="42" t="n"/>
      <c r="G13" s="42" t="n"/>
    </row>
    <row r="14" ht="54.75" customHeight="1" s="27">
      <c r="A14" s="33" t="inlineStr">
        <is>
          <t>Kritérium 4</t>
        </is>
      </c>
      <c r="B14" s="42" t="n"/>
      <c r="C14" s="42" t="n"/>
      <c r="D14" s="42" t="n"/>
      <c r="E14" s="42" t="n"/>
      <c r="F14" s="42" t="n"/>
      <c r="G14" s="42" t="n"/>
    </row>
    <row r="15" ht="54.75" customHeight="1" s="27">
      <c r="A15" s="33" t="inlineStr">
        <is>
          <t>Kritérium 5</t>
        </is>
      </c>
      <c r="B15" s="42" t="n"/>
      <c r="C15" s="42" t="n"/>
      <c r="D15" s="42" t="n"/>
      <c r="E15" s="42" t="n"/>
      <c r="F15" s="42" t="n"/>
      <c r="G15" s="42" t="n"/>
    </row>
    <row r="16"/>
    <row r="17" ht="19.5" customHeight="1" s="27">
      <c r="A17" s="39" t="inlineStr">
        <is>
          <t>11.3  Doporučení navazujícího kurzu (pro routing agenta)</t>
        </is>
      </c>
    </row>
    <row r="18" ht="15" customHeight="1" s="27">
      <c r="A18" s="48" t="inlineStr">
        <is>
          <t>Scénář</t>
        </is>
      </c>
      <c r="B18" s="48" t="inlineStr">
        <is>
          <t>Doporučení (kód kurzu + zdůvodnění 1 věta)</t>
        </is>
      </c>
      <c r="C18" s="41" t="n"/>
      <c r="D18" s="41" t="n"/>
      <c r="E18" s="41" t="n"/>
      <c r="F18" s="41" t="n"/>
      <c r="G18" s="51" t="n"/>
    </row>
    <row r="19" ht="39.75" customHeight="1" s="27">
      <c r="A19" s="33" t="inlineStr">
        <is>
          <t>Silný výkon (≥ 80 %)</t>
        </is>
      </c>
      <c r="B19" s="52" t="n"/>
      <c r="C19" s="41" t="n"/>
      <c r="D19" s="41" t="n"/>
      <c r="E19" s="41" t="n"/>
      <c r="F19" s="41" t="n"/>
      <c r="G19" s="41" t="n"/>
    </row>
    <row r="20" ht="39.75" customHeight="1" s="27">
      <c r="A20" s="33" t="inlineStr">
        <is>
          <t>Slabý výkon (&lt; 60 %)</t>
        </is>
      </c>
      <c r="B20" s="52" t="n"/>
      <c r="C20" s="41" t="n"/>
      <c r="D20" s="41" t="n"/>
      <c r="E20" s="41" t="n"/>
      <c r="F20" s="41" t="n"/>
      <c r="G20" s="41" t="n"/>
    </row>
    <row r="21" ht="39.75" customHeight="1" s="27">
      <c r="A21" s="33" t="inlineStr">
        <is>
          <t>Mezera v konkrétní OBJECTIVE (uveďte ID)</t>
        </is>
      </c>
      <c r="B21" s="52" t="n"/>
      <c r="C21" s="41" t="n"/>
      <c r="D21" s="41" t="n"/>
      <c r="E21" s="41" t="n"/>
      <c r="F21" s="41" t="n"/>
      <c r="G21" s="41" t="n"/>
    </row>
  </sheetData>
  <mergeCells count="12">
    <mergeCell ref="B19:G19"/>
    <mergeCell ref="B20:G20"/>
    <mergeCell ref="A1:G1"/>
    <mergeCell ref="A17:G17"/>
    <mergeCell ref="A9:G9"/>
    <mergeCell ref="B5:G5"/>
    <mergeCell ref="A4:G4"/>
    <mergeCell ref="A2:G2"/>
    <mergeCell ref="B18:G18"/>
    <mergeCell ref="B21:G21"/>
    <mergeCell ref="B7:G7"/>
    <mergeCell ref="B6:G6"/>
  </mergeCells>
  <dataValidations count="2">
    <dataValidation sqref="B5:G5" showDropDown="0" showInputMessage="0" showErrorMessage="0" allowBlank="1" type="list" errorStyle="stop" operator="between">
      <formula1>"Hodnocení artefaktu,Výsledky kurzu (sebehodnocení)"</formula1>
      <formula2>0</formula2>
    </dataValidation>
    <dataValidation sqref="B6:G6" showDropDown="0" showInputMessage="0" showErrorMessage="0" allowBlank="1" type="list" errorStyle="stop" operator="between">
      <formula1>"Uživatel (sebehodnocení),Lektor,Garant,AI,Kombinace"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26" min="1" max="1"/>
    <col width="25" customWidth="1" style="26" min="2" max="2"/>
    <col width="5" customWidth="1" style="26" min="3" max="3"/>
    <col width="30" customWidth="1" style="26" min="4" max="4"/>
  </cols>
  <sheetData>
    <row r="1" ht="27.75" customHeight="1" s="27">
      <c r="A1" s="28" t="inlineStr">
        <is>
          <t>12  Výzkumná poznámka</t>
        </is>
      </c>
    </row>
    <row r="2" ht="31.5" customHeight="1" s="27">
      <c r="A2" s="38" t="inlineStr">
        <is>
          <t>💡 Volitelné. Vyplňte, pokud kurz testuje specifickou hypotézu nebo sleduje proměnnou. Tato poznámka jde přímo výzkumnému týmu.</t>
        </is>
      </c>
    </row>
    <row r="3"/>
    <row r="4" ht="37.5" customHeight="1" s="27">
      <c r="A4" s="30" t="inlineStr">
        <is>
          <t>Výzkumná hypotéza / sledovaná proměnná</t>
        </is>
      </c>
      <c r="B4" s="40" t="n"/>
      <c r="C4" s="41" t="n"/>
      <c r="D4" s="41" t="n"/>
    </row>
    <row r="5" ht="37.5" customHeight="1" s="27">
      <c r="A5" s="30" t="inlineStr">
        <is>
          <t>Pre-dotazník před zahájením kurzu</t>
        </is>
      </c>
      <c r="B5" s="40" t="n"/>
      <c r="C5" s="41" t="n"/>
      <c r="D5" s="41" t="n"/>
    </row>
    <row r="6" ht="37.5" customHeight="1" s="27">
      <c r="A6" s="30" t="inlineStr">
        <is>
          <t>Post-dotazník po dokončení kurzu</t>
        </is>
      </c>
      <c r="B6" s="40" t="n"/>
      <c r="C6" s="41" t="n"/>
      <c r="D6" s="41" t="n"/>
    </row>
    <row r="7" ht="37.5" customHeight="1" s="27">
      <c r="A7" s="30" t="inlineStr">
        <is>
          <t>Reflexivní poznámka uživatele k artefaktu</t>
        </is>
      </c>
      <c r="B7" s="40" t="n"/>
      <c r="C7" s="41" t="n"/>
      <c r="D7" s="41" t="n"/>
    </row>
  </sheetData>
  <mergeCells count="6">
    <mergeCell ref="A1:D1"/>
    <mergeCell ref="B5:D5"/>
    <mergeCell ref="B4:D4"/>
    <mergeCell ref="A2:D2"/>
    <mergeCell ref="B7:D7"/>
    <mergeCell ref="B6:D6"/>
  </mergeCells>
  <dataValidations count="1">
    <dataValidation sqref="B5:D7" showDropDown="0" showInputMessage="0" showErrorMessage="0" allowBlank="1" type="list" errorStyle="stop" operator="between">
      <formula1>"ano,ne"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E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6" min="1" max="1"/>
    <col width="55" customWidth="1" style="26" min="2" max="2"/>
    <col width="20" customWidth="1" style="26" min="3" max="3"/>
    <col width="14" customWidth="1" style="26" min="4" max="4"/>
    <col width="30" customWidth="1" style="26" min="5" max="5"/>
  </cols>
  <sheetData>
    <row r="1" ht="27.75" customHeight="1" s="27">
      <c r="A1" s="28" t="inlineStr">
        <is>
          <t>13  Validační checklist</t>
        </is>
      </c>
    </row>
    <row r="2" ht="31.5" customHeight="1" s="27">
      <c r="A2" s="38" t="inlineStr">
        <is>
          <t>💡 Sloupec 'Auto' = automatická kontrola formátu (vzorec, zezelená/zčervená samo). Sloupec 'Garant' = ruční potvrzení kvality. Před odevzdáním musí být vše OK.</t>
        </is>
      </c>
    </row>
    <row r="3"/>
    <row r="4" ht="26.85" customHeight="1" s="27">
      <c r="A4" s="48" t="inlineStr">
        <is>
          <t>#</t>
        </is>
      </c>
      <c r="B4" s="48" t="inlineStr">
        <is>
          <t>Kontrolované pravidlo</t>
        </is>
      </c>
      <c r="C4" s="48" t="inlineStr">
        <is>
          <t>Auto (vzorec)</t>
        </is>
      </c>
      <c r="D4" s="48" t="inlineStr">
        <is>
          <t>Garant (ruční)</t>
        </is>
      </c>
      <c r="E4" s="48" t="inlineStr">
        <is>
          <t>Poznámka garanta</t>
        </is>
      </c>
    </row>
    <row r="5" ht="21.75" customHeight="1" s="27">
      <c r="A5" s="53" t="n">
        <v>1</v>
      </c>
      <c r="B5" s="53" t="inlineStr">
        <is>
          <t>1.1 Interní kód (DB) je vyplněn</t>
        </is>
      </c>
      <c r="C5" s="54">
        <f>IF(1_Identifikace!B5="","CHYBĚJÍCÍ",IF(1_Identifikace!B5=1_Identifikace!B5,"OK","CHYBA"))</f>
        <v/>
      </c>
      <c r="D5" s="55" t="n"/>
      <c r="E5" s="55" t="n"/>
    </row>
    <row r="6" ht="21.75" customHeight="1" s="27">
      <c r="A6" s="53" t="n">
        <v>2</v>
      </c>
      <c r="B6" s="53" t="inlineStr">
        <is>
          <t>1.1 Interní kód má formát písmeno + 4 číslice (např. A0101)</t>
        </is>
      </c>
      <c r="C6" s="54">
        <f>IF(1_Identifikace!B5="","CHYBĚJÍCÍ",IF(AND(LEN(1_Identifikace!B5)=5,ISNUMBER(VALUE(MID(1_Identifikace!B5,2,4)))),"OK","CHYBA FORMÁTU"))</f>
        <v/>
      </c>
      <c r="D6" s="55" t="n"/>
      <c r="E6" s="55" t="n"/>
    </row>
    <row r="7" ht="21.75" customHeight="1" s="27">
      <c r="A7" s="53" t="n">
        <v>3</v>
      </c>
      <c r="B7" s="53" t="inlineStr">
        <is>
          <t>1.1 URL slug je vyplněn</t>
        </is>
      </c>
      <c r="C7" s="54">
        <f>IF(1_Identifikace!B7="","CHYBĚJÍCÍ","OK")</f>
        <v/>
      </c>
      <c r="D7" s="55" t="n"/>
      <c r="E7" s="55" t="n"/>
    </row>
    <row r="8" ht="21.75" customHeight="1" s="27">
      <c r="A8" s="53" t="n">
        <v>4</v>
      </c>
      <c r="B8" s="53" t="inlineStr">
        <is>
          <t>1.1 URL slug neobsahuje mezery</t>
        </is>
      </c>
      <c r="C8" s="54">
        <f>IF(1_Identifikace!B7="","CHYBĚJÍCÍ",IF(ISERROR(FIND(" ",1_Identifikace!B7)),"OK","OBSAHUJE MEZERU"))</f>
        <v/>
      </c>
      <c r="D8" s="55" t="n"/>
      <c r="E8" s="55" t="n"/>
    </row>
    <row r="9" ht="21.75" customHeight="1" s="27">
      <c r="A9" s="53" t="n">
        <v>5</v>
      </c>
      <c r="B9" s="53" t="inlineStr">
        <is>
          <t>1.1 Plný název kurzu je vyplněn</t>
        </is>
      </c>
      <c r="C9" s="54">
        <f>IF(1_Identifikace!B8="","CHYBĚJÍCÍ","OK")</f>
        <v/>
      </c>
      <c r="D9" s="55" t="n"/>
      <c r="E9" s="55" t="n"/>
    </row>
    <row r="10" ht="21.75" customHeight="1" s="27">
      <c r="A10" s="53" t="n">
        <v>6</v>
      </c>
      <c r="B10" s="53" t="inlineStr">
        <is>
          <t>1.1 Řešený problém je vyplněn</t>
        </is>
      </c>
      <c r="C10" s="54">
        <f>IF(1_Identifikace!B9="","CHYBĚJÍCÍ","OK")</f>
        <v/>
      </c>
      <c r="D10" s="55" t="n"/>
      <c r="E10" s="55" t="n"/>
    </row>
    <row r="11" ht="21.75" customHeight="1" s="27">
      <c r="A11" s="53" t="n">
        <v>7</v>
      </c>
      <c r="B11" s="53" t="inlineStr">
        <is>
          <t>1.2 EQF úroveň je vyplněna</t>
        </is>
      </c>
      <c r="C11" s="54">
        <f>IF(1_Identifikace!B18="","CHYBĚJÍCÍ","OK")</f>
        <v/>
      </c>
      <c r="D11" s="55" t="n"/>
      <c r="E11" s="55" t="n"/>
    </row>
    <row r="12" ht="21.75" customHeight="1" s="27">
      <c r="A12" s="53" t="n">
        <v>8</v>
      </c>
      <c r="B12" s="53" t="inlineStr">
        <is>
          <t>1.2 Délka celkem (min) je vyplněna</t>
        </is>
      </c>
      <c r="C12" s="54">
        <f>IF(1_Identifikace!B15="","CHYBĚJÍCÍ","OK")</f>
        <v/>
      </c>
      <c r="D12" s="55" t="n"/>
      <c r="E12" s="55" t="n"/>
    </row>
    <row r="13" ht="21.75" customHeight="1" s="27">
      <c r="A13" s="53" t="n">
        <v>9</v>
      </c>
      <c r="B13" s="53" t="inlineStr">
        <is>
          <t>1.4 Anchor text je vyplněn</t>
        </is>
      </c>
      <c r="C13" s="54">
        <f>IF(1_Identifikace!B29="","CHYBĚJÍCÍ","OK")</f>
        <v/>
      </c>
      <c r="D13" s="55" t="n"/>
      <c r="E13" s="55" t="n"/>
    </row>
    <row r="14" ht="21.75" customHeight="1" s="27">
      <c r="A14" s="53" t="n">
        <v>10</v>
      </c>
      <c r="B14" s="53" t="inlineStr">
        <is>
          <t>1.4 Informační nota je vyplněna</t>
        </is>
      </c>
      <c r="C14" s="54">
        <f>IF(1_Identifikace!B30="","CHYBĚJÍCÍ","OK")</f>
        <v/>
      </c>
      <c r="D14" s="55" t="n"/>
      <c r="E14" s="55" t="n"/>
    </row>
    <row r="15" ht="21.75" customHeight="1" s="27">
      <c r="A15" s="53" t="n">
        <v>11</v>
      </c>
      <c r="B15" s="53" t="inlineStr">
        <is>
          <t>1.7 Text certifikátu je vyplněn</t>
        </is>
      </c>
      <c r="C15" s="54">
        <f>IF(1_Identifikace!B45="","CHYBĚJÍCÍ","OK")</f>
        <v/>
      </c>
      <c r="D15" s="55" t="n"/>
      <c r="E15" s="55" t="n"/>
    </row>
    <row r="16" ht="21.75" customHeight="1" s="27">
      <c r="A16" s="53" t="n">
        <v>12</v>
      </c>
      <c r="B16" s="53" t="inlineStr">
        <is>
          <t>2 Alespoň jeden GOAL má vyplněný popis</t>
        </is>
      </c>
      <c r="C16" s="54">
        <f>IF(COUNTA(2_GOALS!C5:C10)&gt;0,"OK","ŽÁDNÝ GOAL NEVYPLNĚN")</f>
        <v/>
      </c>
      <c r="D16" s="55" t="n"/>
      <c r="E16" s="55" t="n"/>
    </row>
    <row r="17" ht="21.75" customHeight="1" s="27">
      <c r="A17" s="53" t="n">
        <v>13</v>
      </c>
      <c r="B17" s="53" t="inlineStr">
        <is>
          <t>3 Alespoň jeden OBJECTIVE je vyplněn</t>
        </is>
      </c>
      <c r="C17" s="54">
        <f>IF(COUNTA(3_OBJECTIVES!A5:A24)&gt;0,"OK","ŽÁDNÝ OBJECTIVE NEVYPLNĚN")</f>
        <v/>
      </c>
      <c r="D17" s="55" t="n"/>
      <c r="E17" s="55" t="n"/>
    </row>
    <row r="18" ht="21.75" customHeight="1" s="27">
      <c r="A18" s="53" t="n">
        <v>14</v>
      </c>
      <c r="B18" s="53" t="inlineStr">
        <is>
          <t>3 ID OBJECTIVES jsou unikátní (kontrola duplicit)</t>
        </is>
      </c>
      <c r="C18" s="54">
        <f>IF(COUNTA(3_OBJECTIVES!A5:A24)=SUMPRODUCT((3_OBJECTIVES!A5:A24&lt;&gt;"")/COUNTIF(3_OBJECTIVES!A5:A24,3_OBJECTIVES!A5:A24&amp;"")),"OK","DUPLICITNÍ ID")</f>
        <v/>
      </c>
      <c r="D18" s="55" t="n"/>
      <c r="E18" s="55" t="n"/>
    </row>
    <row r="19" ht="21.75" customHeight="1" s="27">
      <c r="A19" s="53" t="n">
        <v>15</v>
      </c>
      <c r="B19" s="53" t="inlineStr">
        <is>
          <t>5 Alespoň jeden neurovědní princip je vybrán pro kurz</t>
        </is>
      </c>
      <c r="C19" s="54">
        <f>IF(COUNTIF(5_Neuroved_kurz!A5:A24,"X")&gt;0,"OK","ŽÁDNÝ PRINCIP NEOZNAČEN")</f>
        <v/>
      </c>
      <c r="D19" s="55" t="n"/>
      <c r="E19" s="55" t="n"/>
    </row>
    <row r="20" ht="21.75" customHeight="1" s="27">
      <c r="A20" s="53" t="n">
        <v>16</v>
      </c>
      <c r="B20" s="53" t="inlineStr">
        <is>
          <t>6 Alespoň jeden AI princip je vybrán</t>
        </is>
      </c>
      <c r="C20" s="54">
        <f>IF(COUNTIF(6_AI_principy!A4:A9,"X")+COUNTIF(6_AI_principy!C4:C9,"X")&gt;0,"OK","ŽÁDNÝ AI PRINCIP")</f>
        <v/>
      </c>
      <c r="D20" s="55" t="n"/>
      <c r="E20" s="55" t="n"/>
    </row>
    <row r="21" ht="21.75" customHeight="1" s="27">
      <c r="A21" s="53" t="n">
        <v>17</v>
      </c>
      <c r="B21" s="53" t="inlineStr">
        <is>
          <t>7 Alespoň jedna KRAUU kompetence je označena</t>
        </is>
      </c>
      <c r="C21" s="54">
        <f>IF(COUNTIF(7_KRAUU_kurz!A5:A22,"X")&gt;0,"OK","ŽÁDNÁ KOMPETENCE")</f>
        <v/>
      </c>
      <c r="D21" s="55" t="n"/>
      <c r="E21" s="55" t="n"/>
    </row>
    <row r="22" ht="21.75" customHeight="1" s="27">
      <c r="A22" s="53" t="n">
        <v>18</v>
      </c>
      <c r="B22" s="53" t="inlineStr">
        <is>
          <t>8 Alespoň jeden vzor / antipattern je vyplněn</t>
        </is>
      </c>
      <c r="C22" s="54">
        <f>IF(COUNTA(8_Vzory_antipatterns!A5:A19)&gt;0,"OK","ŽÁDNÉ PRAVIDLO")</f>
        <v/>
      </c>
      <c r="D22" s="55" t="n"/>
      <c r="E22" s="55" t="n"/>
    </row>
    <row r="23" ht="21.75" customHeight="1" s="27">
      <c r="A23" s="53" t="n">
        <v>19</v>
      </c>
      <c r="B23" s="53" t="inlineStr">
        <is>
          <t>9 Typ artefaktu je vyplněn</t>
        </is>
      </c>
      <c r="C23" s="54">
        <f>IF(9_Artefakt!B5="","CHYBĚJÍCÍ","OK")</f>
        <v/>
      </c>
      <c r="D23" s="55" t="n"/>
      <c r="E23" s="55" t="n"/>
    </row>
    <row r="24" ht="21.75" customHeight="1" s="27">
      <c r="A24" s="53" t="n">
        <v>20</v>
      </c>
      <c r="B24" s="53" t="inlineStr">
        <is>
          <t>9 Co artefakt musí obsahovat je vyplněno</t>
        </is>
      </c>
      <c r="C24" s="54">
        <f>IF(9_Artefakt!B6="","CHYBĚJÍCÍ","OK")</f>
        <v/>
      </c>
      <c r="D24" s="55" t="n"/>
      <c r="E24" s="55" t="n"/>
    </row>
    <row r="25" ht="21.75" customHeight="1" s="27">
      <c r="A25" s="53" t="n">
        <v>21</v>
      </c>
      <c r="B25" s="53" t="inlineStr">
        <is>
          <t>11.1 Hodnotitel rubriky je vybrán</t>
        </is>
      </c>
      <c r="C25" s="54">
        <f>IF(11_Rubrika!B6="","CHYBĚJÍCÍ","OK")</f>
        <v/>
      </c>
      <c r="D25" s="55" t="n"/>
      <c r="E25" s="55" t="n"/>
    </row>
    <row r="26" ht="21.75" customHeight="1" s="27">
      <c r="A26" s="53" t="n">
        <v>22</v>
      </c>
      <c r="B26" s="53" t="inlineStr">
        <is>
          <t>11.2 Všech 5 kritérií rubriky je popsáno (sloupec Mistrovství)</t>
        </is>
      </c>
      <c r="C26" s="54">
        <f>IF(COUNTA(11_Rubrika!B11:B15)=5,"OK","NEKOMPLETNÍ")</f>
        <v/>
      </c>
      <c r="D26" s="55" t="n"/>
      <c r="E26" s="55" t="n"/>
    </row>
    <row r="27" ht="21.75" customHeight="1" s="27">
      <c r="A27" s="53" t="n">
        <v>23</v>
      </c>
      <c r="B27" s="53" t="inlineStr">
        <is>
          <t>11.3 Doporučení pro silný výkon je vyplněno</t>
        </is>
      </c>
      <c r="C27" s="54">
        <f>IF(11_Rubrika!B19="","CHYBĚJÍCÍ","OK")</f>
        <v/>
      </c>
      <c r="D27" s="55" t="n"/>
      <c r="E27" s="55" t="n"/>
    </row>
    <row r="28" ht="21.75" customHeight="1" s="27">
      <c r="A28" s="53" t="n">
        <v>24</v>
      </c>
      <c r="B28" s="53" t="inlineStr">
        <is>
          <t>11.3 Doporučení pro slabý výkon je vyplněno</t>
        </is>
      </c>
      <c r="C28" s="54">
        <f>IF(11_Rubrika!B20="","CHYBĚJÍCÍ","OK")</f>
        <v/>
      </c>
      <c r="D28" s="55" t="n"/>
      <c r="E28" s="55" t="n"/>
    </row>
    <row r="29" ht="21.75" customHeight="1" s="27">
      <c r="A29" s="53" t="n">
        <v>25</v>
      </c>
      <c r="B29" s="53" t="inlineStr">
        <is>
          <t>M1 Modul 1 má vyplněný název</t>
        </is>
      </c>
      <c r="C29" s="54">
        <f>IF(M1!B4="","CHYBĚJÍCÍ","OK")</f>
        <v/>
      </c>
      <c r="D29" s="55" t="n"/>
      <c r="E29" s="55" t="n"/>
    </row>
    <row r="30" ht="21.75" customHeight="1" s="27">
      <c r="A30" s="53" t="n">
        <v>26</v>
      </c>
      <c r="B30" s="53" t="inlineStr">
        <is>
          <t>M1 Modul 1 má vyplněný IMPULS</t>
        </is>
      </c>
      <c r="C30" s="54">
        <f>IF(M1!B6="","CHYBĚJÍCÍ","OK")</f>
        <v/>
      </c>
      <c r="D30" s="55" t="n"/>
      <c r="E30" s="55" t="n"/>
    </row>
    <row r="31" ht="21.75" customHeight="1" s="27">
      <c r="A31" s="53" t="n">
        <v>27</v>
      </c>
      <c r="B31" s="53" t="inlineStr">
        <is>
          <t>M2 Modul 2 má vyplněný název</t>
        </is>
      </c>
      <c r="C31" s="54">
        <f>IF(M2!B4="","CHYBĚJÍCÍ","OK")</f>
        <v/>
      </c>
      <c r="D31" s="55" t="n"/>
      <c r="E31" s="55" t="n"/>
    </row>
    <row r="32" ht="21.75" customHeight="1" s="27">
      <c r="A32" s="53" t="n">
        <v>28</v>
      </c>
      <c r="B32" s="53" t="inlineStr">
        <is>
          <t>M3 Modul 3 má vyplněný název</t>
        </is>
      </c>
      <c r="C32" s="54">
        <f>IF(M3!B4="","CHYBĚJÍCÍ","OK")</f>
        <v/>
      </c>
      <c r="D32" s="55" t="n"/>
      <c r="E32" s="55" t="n"/>
    </row>
    <row r="33" ht="21.75" customHeight="1" s="27">
      <c r="A33" s="53" t="n">
        <v>29</v>
      </c>
      <c r="B33" s="53" t="inlineStr">
        <is>
          <t>M4 Modul 4 má vyplněný název</t>
        </is>
      </c>
      <c r="C33" s="54">
        <f>IF(M4!B4="","CHYBĚJÍCÍ","OK")</f>
        <v/>
      </c>
      <c r="D33" s="55" t="n"/>
      <c r="E33" s="55" t="n"/>
    </row>
    <row r="34" ht="21.75" customHeight="1" s="27">
      <c r="A34" s="53" t="n">
        <v>30</v>
      </c>
      <c r="B34" s="53" t="inlineStr">
        <is>
          <t>M5 Modul 5 má vyplněný název</t>
        </is>
      </c>
      <c r="C34" s="54">
        <f>IF(M5!B4="","CHYBĚJÍCÍ","OK")</f>
        <v/>
      </c>
      <c r="D34" s="55" t="n"/>
      <c r="E34" s="55" t="n"/>
    </row>
    <row r="35" ht="21.75" customHeight="1" s="27">
      <c r="A35" s="53" t="n">
        <v>31</v>
      </c>
      <c r="B35" s="53" t="inlineStr">
        <is>
          <t>Capstone má zvolenou variantu (A nebo B)</t>
        </is>
      </c>
      <c r="C35" s="54">
        <f>IF(Capstone!B4="","CHYBĚJÍCÍ","OK")</f>
        <v/>
      </c>
      <c r="D35" s="55" t="n"/>
      <c r="E35" s="55" t="n"/>
    </row>
    <row r="36" ht="21.75" customHeight="1" s="27">
      <c r="A36" s="53" t="n">
        <v>32</v>
      </c>
      <c r="B36" s="53" t="inlineStr">
        <is>
          <t>KVALITA: GOAL je formulován slovesem 3. os. sg. + objekt + podmínka</t>
        </is>
      </c>
      <c r="C36" s="54" t="inlineStr">
        <is>
          <t>—</t>
        </is>
      </c>
      <c r="D36" s="55" t="n"/>
      <c r="E36" s="55" t="n"/>
    </row>
    <row r="37" ht="21.75" customHeight="1" s="27">
      <c r="A37" s="53" t="n">
        <v>33</v>
      </c>
      <c r="B37" s="53" t="inlineStr">
        <is>
          <t>KVALITA: Každý zaškrtnutý GOAL je zastoupen alespoň jednou fází modulu</t>
        </is>
      </c>
      <c r="C37" s="54" t="inlineStr">
        <is>
          <t>—</t>
        </is>
      </c>
      <c r="D37" s="55" t="n"/>
      <c r="E37" s="55" t="n"/>
    </row>
    <row r="38" ht="21.75" customHeight="1" s="27">
      <c r="A38" s="53" t="n">
        <v>34</v>
      </c>
      <c r="B38" s="53" t="inlineStr">
        <is>
          <t>KVALITA: Rubrika rozumně rozlišuje úrovně (popis kompetence, ne uživatele)</t>
        </is>
      </c>
      <c r="C38" s="54" t="inlineStr">
        <is>
          <t>—</t>
        </is>
      </c>
      <c r="D38" s="55" t="n"/>
      <c r="E38" s="55" t="n"/>
    </row>
    <row r="39" ht="21.75" customHeight="1" s="27">
      <c r="A39" s="53" t="n">
        <v>35</v>
      </c>
      <c r="B39" s="53" t="inlineStr">
        <is>
          <t>KVALITA: Implementace neurovědních principů dává smysl v dané fázi</t>
        </is>
      </c>
      <c r="C39" s="54" t="inlineStr">
        <is>
          <t>—</t>
        </is>
      </c>
      <c r="D39" s="55" t="n"/>
      <c r="E39" s="55" t="n"/>
    </row>
    <row r="40" ht="21.75" customHeight="1" s="27">
      <c r="A40" s="53" t="n">
        <v>36</v>
      </c>
      <c r="B40" s="53" t="inlineStr">
        <is>
          <t>KVALITA: IMPULS skutečně 'vtáhne' uživatele do tématu</t>
        </is>
      </c>
      <c r="C40" s="54" t="inlineStr">
        <is>
          <t>—</t>
        </is>
      </c>
      <c r="D40" s="55" t="n"/>
      <c r="E40" s="55" t="n"/>
    </row>
    <row r="41" ht="21.75" customHeight="1" s="27">
      <c r="A41" s="53" t="n">
        <v>37</v>
      </c>
      <c r="B41" s="53" t="inlineStr">
        <is>
          <t>KVALITA: Vzory a antipatterns jsou konkrétní a aplikovatelné</t>
        </is>
      </c>
      <c r="C41" s="54" t="inlineStr">
        <is>
          <t>—</t>
        </is>
      </c>
      <c r="D41" s="55" t="n"/>
      <c r="E41" s="55" t="n"/>
    </row>
    <row r="42" ht="21.75" customHeight="1" s="27">
      <c r="A42" s="53" t="n">
        <v>38</v>
      </c>
      <c r="B42" s="53" t="inlineStr">
        <is>
          <t>KVALITA: Tučné klíče (pevné identifikátory) nebyly nikde upraveny</t>
        </is>
      </c>
      <c r="C42" s="54" t="inlineStr">
        <is>
          <t>—</t>
        </is>
      </c>
      <c r="D42" s="55" t="n"/>
      <c r="E42" s="55" t="n"/>
    </row>
    <row r="43" ht="21.75" customHeight="1" s="27">
      <c r="A43" s="53" t="n">
        <v>39</v>
      </c>
      <c r="B43" s="53" t="inlineStr">
        <is>
          <t>KVALITA: Žádný placeholder typu 'doplňte' nezůstal v matrici</t>
        </is>
      </c>
      <c r="C43" s="54" t="inlineStr">
        <is>
          <t>—</t>
        </is>
      </c>
      <c r="D43" s="55" t="n"/>
      <c r="E43" s="55" t="n"/>
    </row>
    <row r="44">
      <c r="A44" s="53" t="n">
        <v>40</v>
      </c>
      <c r="B44" s="53" t="inlineStr">
        <is>
          <t>1.2 Úroveň je vyplněna ze seznamu (Začátečník / Středně pokročilý / Pokročilý)</t>
        </is>
      </c>
      <c r="C44" s="54">
        <f>IF('1_Identifikace'!B16="","CHYBĚJÍCÍ",IF('1_Identifikace'!B52&lt;&gt;"","OK","MIMO SEZNAM"))</f>
        <v/>
      </c>
      <c r="D44" s="55" t="n"/>
      <c r="E44" s="55" t="n"/>
    </row>
    <row r="45" ht="39.55" customHeight="1" s="27">
      <c r="A45" s="53" t="n">
        <v>41</v>
      </c>
      <c r="B45" s="53" t="inlineStr">
        <is>
          <t>1.8 Alespoň jedna cílová skupina je označena</t>
        </is>
      </c>
      <c r="C45" s="54">
        <f>IF(COUNTIF('1_Identifikace'!A48:A49,"X")+COUNTIF('1_Identifikace'!C48,"X")&gt;0,"OK","ŽÁDNÁ SKUPINA")</f>
        <v/>
      </c>
      <c r="D45" s="55" t="n"/>
      <c r="E45" s="55" t="n"/>
    </row>
    <row r="46">
      <c r="A46" s="53" t="n">
        <v>42</v>
      </c>
      <c r="B46" s="53" t="inlineStr">
        <is>
          <t>1.8 Anotace pro platformu je vyplněna a má max. 500 znaků</t>
        </is>
      </c>
      <c r="C46" s="54">
        <f>IF('1_Identifikace'!B53="","CHYBĚJÍCÍ",IF(LEN('1_Identifikace'!B53)&lt;=500,"OK","NAD 500 ZNAKŮ"))</f>
        <v/>
      </c>
      <c r="D46" s="55" t="n"/>
      <c r="E46" s="55" t="n"/>
    </row>
    <row r="47">
      <c r="A47" s="53" t="n">
        <v>43</v>
      </c>
      <c r="B47" s="53" t="inlineStr">
        <is>
          <t>M1 F1 PREZENTACE trvá 5–10 min</t>
        </is>
      </c>
      <c r="C47" s="54">
        <f>IF(M1!B4="","—",IF(AND(M1!B13&gt;=5,M1!B13&lt;=10),"OK","F1 MIMO 5–10"))</f>
        <v/>
      </c>
      <c r="D47" s="55" t="n"/>
      <c r="E47" s="55" t="n"/>
    </row>
    <row r="48">
      <c r="A48" s="53" t="n">
        <v>44</v>
      </c>
      <c r="B48" s="53" t="inlineStr">
        <is>
          <t>M1 Náročnost tématu je vyplněna</t>
        </is>
      </c>
      <c r="C48" s="54">
        <f>IF(M1!B4="","—",IF(M1!B40="","CHYBĚJÍCÍ","OK"))</f>
        <v/>
      </c>
      <c r="D48" s="55" t="n"/>
      <c r="E48" s="55" t="n"/>
    </row>
    <row r="49">
      <c r="A49" s="53" t="n">
        <v>45</v>
      </c>
      <c r="B49" s="53" t="inlineStr">
        <is>
          <t>M1 Otevřené problémy pro metodika jsou vyřešené (pole prázdné)</t>
        </is>
      </c>
      <c r="C49" s="54">
        <f>IF(M1!B4="","—",IF(M1!B43="","OK","OTEVŘENÉ PROBLÉMY"))</f>
        <v/>
      </c>
      <c r="D49" s="55" t="n"/>
      <c r="E49" s="55" t="n"/>
    </row>
    <row r="50">
      <c r="A50" s="53" t="n">
        <v>46</v>
      </c>
      <c r="B50" s="53" t="inlineStr">
        <is>
          <t>M2 F1 PREZENTACE trvá 5–10 min</t>
        </is>
      </c>
      <c r="C50" s="54">
        <f>IF(M2!B4="","—",IF(AND(M2!B13&gt;=5,M2!B13&lt;=10),"OK","F1 MIMO 5–10"))</f>
        <v/>
      </c>
      <c r="D50" s="55" t="n"/>
      <c r="E50" s="55" t="n"/>
    </row>
    <row r="51">
      <c r="A51" s="53" t="n">
        <v>47</v>
      </c>
      <c r="B51" s="53" t="inlineStr">
        <is>
          <t>M2 Náročnost tématu je vyplněna</t>
        </is>
      </c>
      <c r="C51" s="54">
        <f>IF(M2!B4="","—",IF(M2!B40="","CHYBĚJÍCÍ","OK"))</f>
        <v/>
      </c>
      <c r="D51" s="55" t="n"/>
      <c r="E51" s="55" t="n"/>
    </row>
    <row r="52">
      <c r="A52" s="53" t="n">
        <v>48</v>
      </c>
      <c r="B52" s="53" t="inlineStr">
        <is>
          <t>M2 Otevřené problémy pro metodika jsou vyřešené (pole prázdné)</t>
        </is>
      </c>
      <c r="C52" s="54">
        <f>IF(M2!B4="","—",IF(M2!B43="","OK","OTEVŘENÉ PROBLÉMY"))</f>
        <v/>
      </c>
      <c r="D52" s="55" t="n"/>
      <c r="E52" s="55" t="n"/>
    </row>
    <row r="53">
      <c r="A53" s="53" t="n">
        <v>49</v>
      </c>
      <c r="B53" s="53" t="inlineStr">
        <is>
          <t>M3 F1 PREZENTACE trvá 5–10 min</t>
        </is>
      </c>
      <c r="C53" s="54">
        <f>IF(M3!B4="","—",IF(AND(M3!B13&gt;=5,M3!B13&lt;=10),"OK","F1 MIMO 5–10"))</f>
        <v/>
      </c>
      <c r="D53" s="55" t="n"/>
      <c r="E53" s="55" t="n"/>
    </row>
    <row r="54">
      <c r="A54" s="53" t="n">
        <v>50</v>
      </c>
      <c r="B54" s="53" t="inlineStr">
        <is>
          <t>M3 Náročnost tématu je vyplněna</t>
        </is>
      </c>
      <c r="C54" s="54">
        <f>IF(M3!B4="","—",IF(M3!B40="","CHYBĚJÍCÍ","OK"))</f>
        <v/>
      </c>
      <c r="D54" s="55" t="n"/>
      <c r="E54" s="55" t="n"/>
    </row>
    <row r="55">
      <c r="A55" s="53" t="n">
        <v>51</v>
      </c>
      <c r="B55" s="53" t="inlineStr">
        <is>
          <t>M3 Otevřené problémy pro metodika jsou vyřešené (pole prázdné)</t>
        </is>
      </c>
      <c r="C55" s="54">
        <f>IF(M3!B4="","—",IF(M3!B43="","OK","OTEVŘENÉ PROBLÉMY"))</f>
        <v/>
      </c>
      <c r="D55" s="55" t="n"/>
      <c r="E55" s="55" t="n"/>
    </row>
    <row r="56">
      <c r="A56" s="53" t="n">
        <v>52</v>
      </c>
      <c r="B56" s="53" t="inlineStr">
        <is>
          <t>M4 F1 PREZENTACE trvá 5–10 min</t>
        </is>
      </c>
      <c r="C56" s="54">
        <f>IF(M4!B4="","—",IF(AND(M4!B13&gt;=5,M4!B13&lt;=10),"OK","F1 MIMO 5–10"))</f>
        <v/>
      </c>
      <c r="D56" s="55" t="n"/>
      <c r="E56" s="55" t="n"/>
    </row>
    <row r="57">
      <c r="A57" s="53" t="n">
        <v>53</v>
      </c>
      <c r="B57" s="53" t="inlineStr">
        <is>
          <t>M4 Náročnost tématu je vyplněna</t>
        </is>
      </c>
      <c r="C57" s="54">
        <f>IF(M4!B4="","—",IF(M4!B40="","CHYBĚJÍCÍ","OK"))</f>
        <v/>
      </c>
      <c r="D57" s="55" t="n"/>
      <c r="E57" s="55" t="n"/>
    </row>
    <row r="58">
      <c r="A58" s="53" t="n">
        <v>54</v>
      </c>
      <c r="B58" s="53" t="inlineStr">
        <is>
          <t>M4 Otevřené problémy pro metodika jsou vyřešené (pole prázdné)</t>
        </is>
      </c>
      <c r="C58" s="54">
        <f>IF(M4!B4="","—",IF(M4!B43="","OK","OTEVŘENÉ PROBLÉMY"))</f>
        <v/>
      </c>
      <c r="D58" s="55" t="n"/>
      <c r="E58" s="55" t="n"/>
    </row>
    <row r="59">
      <c r="A59" s="53" t="n">
        <v>55</v>
      </c>
      <c r="B59" s="53" t="inlineStr">
        <is>
          <t>M5 F1 PREZENTACE trvá 5–10 min</t>
        </is>
      </c>
      <c r="C59" s="54">
        <f>IF(M5!B4="","—",IF(AND(M5!B13&gt;=5,M5!B13&lt;=10),"OK","F1 MIMO 5–10"))</f>
        <v/>
      </c>
      <c r="D59" s="55" t="n"/>
      <c r="E59" s="55" t="n"/>
    </row>
    <row r="60">
      <c r="A60" s="53" t="n">
        <v>56</v>
      </c>
      <c r="B60" s="53" t="inlineStr">
        <is>
          <t>M5 Náročnost tématu je vyplněna</t>
        </is>
      </c>
      <c r="C60" s="54">
        <f>IF(M5!B4="","—",IF(M5!B40="","CHYBĚJÍCÍ","OK"))</f>
        <v/>
      </c>
      <c r="D60" s="55" t="n"/>
      <c r="E60" s="55" t="n"/>
    </row>
    <row r="61">
      <c r="A61" s="53" t="n">
        <v>57</v>
      </c>
      <c r="B61" s="53" t="inlineStr">
        <is>
          <t>M5 Otevřené problémy pro metodika jsou vyřešené (pole prázdné)</t>
        </is>
      </c>
      <c r="C61" s="54">
        <f>IF(M5!B4="","—",IF(M5!B43="","OK","OTEVŘENÉ PROBLÉMY"))</f>
        <v/>
      </c>
      <c r="D61" s="55" t="n"/>
      <c r="E61" s="55" t="n"/>
    </row>
    <row r="62">
      <c r="A62" s="53" t="n">
        <v>58</v>
      </c>
      <c r="B62" s="53" t="inlineStr">
        <is>
          <t>14 Alespoň jeden zdroj má vyplněnou roli</t>
        </is>
      </c>
      <c r="C62" s="54">
        <f>IF(COUNTA('14_Zdroje'!C5:C24)&gt;0,"OK","ŽÁDNÝ ZDROJ")</f>
        <v/>
      </c>
      <c r="D62" s="55" t="n"/>
      <c r="E62" s="55" t="n"/>
    </row>
    <row r="63">
      <c r="A63" s="53" t="n">
        <v>59</v>
      </c>
      <c r="B63" s="53" t="inlineStr">
        <is>
          <t>KVALITA: Fakta ve F1 mají kontext (obor, populace, typ studie) a zdroj; síla důkazu je uvedena</t>
        </is>
      </c>
      <c r="C63" s="54" t="inlineStr">
        <is>
          <t>—</t>
        </is>
      </c>
      <c r="D63" s="55" t="n"/>
      <c r="E63" s="55" t="n"/>
    </row>
    <row r="64">
      <c r="A64" s="53" t="n">
        <v>60</v>
      </c>
      <c r="B64" s="53" t="inlineStr">
        <is>
          <t>KVALITA: Hlášení ⚠ PRO METODIKA z generátoru jsou odstraněná z textu pro účastníky</t>
        </is>
      </c>
      <c r="C64" s="54" t="inlineStr">
        <is>
          <t>—</t>
        </is>
      </c>
      <c r="D64" s="55" t="n"/>
      <c r="E64" s="55" t="n"/>
    </row>
    <row r="66">
      <c r="A66" s="56" t="inlineStr">
        <is>
          <t>SOUHRN</t>
        </is>
      </c>
      <c r="B66" s="57" t="inlineStr">
        <is>
          <t>Automatické kontroly OK</t>
        </is>
      </c>
      <c r="C66" s="58">
        <f>COUNTIF(C5:C64,"OK")&amp;" / "&amp;(COUNTA(C5:C64)-COUNTIF(C5:C64,"—"))</f>
        <v/>
      </c>
      <c r="D66" s="59">
        <f>COUNTIF(D5:D64,"OK")&amp;" / 60"</f>
        <v/>
      </c>
    </row>
  </sheetData>
  <mergeCells count="2">
    <mergeCell ref="A2:E2"/>
    <mergeCell ref="A1:E1"/>
  </mergeCells>
  <conditionalFormatting sqref="C5:C43">
    <cfRule type="expression" rank="0" priority="2" equalAverage="0" aboveAverage="0" dxfId="0" text="" percent="0" bottom="0">
      <formula>C5="OK"</formula>
    </cfRule>
    <cfRule type="expression" rank="0" priority="3" equalAverage="0" aboveAverage="0" dxfId="1" text="" percent="0" bottom="0">
      <formula>AND(C5&lt;&gt;"OK",C5&lt;&gt;"—",C5&lt;&gt;"")</formula>
    </cfRule>
  </conditionalFormatting>
  <conditionalFormatting sqref="D5:D43">
    <cfRule type="expression" rank="0" priority="4" equalAverage="0" aboveAverage="0" dxfId="0" text="" percent="0" bottom="0">
      <formula>D5="OK"</formula>
    </cfRule>
    <cfRule type="expression" rank="0" priority="5" equalAverage="0" aboveAverage="0" dxfId="1" text="" percent="0" bottom="0">
      <formula>D5="OPRAVIT"</formula>
    </cfRule>
  </conditionalFormatting>
  <conditionalFormatting sqref="C44:C64">
    <cfRule type="expression" priority="5" dxfId="2">
      <formula>C44="OK"</formula>
    </cfRule>
    <cfRule type="expression" priority="6" dxfId="3">
      <formula>AND(C44&lt;&gt;"OK",C44&lt;&gt;"—",C44&lt;&gt;"")</formula>
    </cfRule>
  </conditionalFormatting>
  <conditionalFormatting sqref="D44:D64">
    <cfRule type="expression" priority="7" dxfId="2">
      <formula>D44="OK"</formula>
    </cfRule>
    <cfRule type="expression" priority="8" dxfId="3">
      <formula>D44="OPRAVIT"</formula>
    </cfRule>
  </conditionalFormatting>
  <dataValidations count="2">
    <dataValidation sqref="D5:D43" showDropDown="0" showInputMessage="0" showErrorMessage="0" allowBlank="1" type="list" errorStyle="stop" operator="between">
      <formula1>"OK,OPRAVIT,N/A"</formula1>
      <formula2>0</formula2>
    </dataValidation>
    <dataValidation sqref="D44:D64" showDropDown="0" showInputMessage="0" showErrorMessage="0" allowBlank="1" type="list">
      <formula1>"OK,OPRAVIT,N/A"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4" customWidth="1" style="27" min="1" max="1"/>
    <col width="9" customWidth="1" style="27" min="2" max="2"/>
    <col width="22" customWidth="1" style="27" min="3" max="3"/>
    <col width="12" customWidth="1" style="27" min="4" max="4"/>
    <col width="40" customWidth="1" style="27" min="5" max="5"/>
    <col width="14" customWidth="1" style="27" min="6" max="6"/>
    <col width="30" customWidth="1" style="27" min="7" max="7"/>
  </cols>
  <sheetData>
    <row r="1">
      <c r="A1" s="60" t="inlineStr">
        <is>
          <t>14  Zdroje kurzu a jejich role</t>
        </is>
      </c>
    </row>
    <row r="2" ht="55" customHeight="1" s="27">
      <c r="A2" s="61" t="inlineStr">
        <is>
          <t>💡 Soubory, které nahrajete ke kurzu pro generátor. AI tvorba přijímá jen .md a .docx; obrázky (PNG, SVG) vkládáte ručně až do hotového kurzu (list 10). Role říká generátoru, jak soubor číst: Obsah = učivo · Pravidla pro tvorbu = pokyny, QA report, zápis rozhovoru (neučí se z nich) · Hotový kurz = osnova ke konverzi.</t>
        </is>
      </c>
    </row>
    <row r="4">
      <c r="A4" s="62" t="inlineStr">
        <is>
          <t>Název souboru</t>
        </is>
      </c>
      <c r="B4" s="62" t="inlineStr">
        <is>
          <t>Formát</t>
        </is>
      </c>
      <c r="C4" s="62" t="inlineStr">
        <is>
          <t>Role</t>
        </is>
      </c>
      <c r="D4" s="62" t="inlineStr">
        <is>
          <t>Pro moduly</t>
        </is>
      </c>
      <c r="E4" s="62" t="inlineStr">
        <is>
          <t>Obsah / co z něj brát</t>
        </is>
      </c>
      <c r="F4" s="62" t="inlineStr">
        <is>
          <t>Ověřeno (fakta, zdroje)</t>
        </is>
      </c>
      <c r="G4" s="62" t="inlineStr">
        <is>
          <t>Poznámka</t>
        </is>
      </c>
    </row>
    <row r="5">
      <c r="A5" s="44" t="n"/>
      <c r="B5" s="44" t="n"/>
      <c r="C5" s="44" t="n"/>
      <c r="D5" s="44" t="n"/>
      <c r="E5" s="44" t="n"/>
      <c r="F5" s="44" t="n"/>
      <c r="G5" s="44" t="n"/>
    </row>
    <row r="6">
      <c r="A6" s="44" t="n"/>
      <c r="B6" s="44" t="n"/>
      <c r="C6" s="44" t="n"/>
      <c r="D6" s="44" t="n"/>
      <c r="E6" s="44" t="n"/>
      <c r="F6" s="44" t="n"/>
      <c r="G6" s="44" t="n"/>
    </row>
    <row r="7">
      <c r="A7" s="44" t="n"/>
      <c r="B7" s="44" t="n"/>
      <c r="C7" s="44" t="n"/>
      <c r="D7" s="44" t="n"/>
      <c r="E7" s="44" t="n"/>
      <c r="F7" s="44" t="n"/>
      <c r="G7" s="44" t="n"/>
    </row>
    <row r="8">
      <c r="A8" s="44" t="n"/>
      <c r="B8" s="44" t="n"/>
      <c r="C8" s="44" t="n"/>
      <c r="D8" s="44" t="n"/>
      <c r="E8" s="44" t="n"/>
      <c r="F8" s="44" t="n"/>
      <c r="G8" s="44" t="n"/>
    </row>
    <row r="9">
      <c r="A9" s="44" t="n"/>
      <c r="B9" s="44" t="n"/>
      <c r="C9" s="44" t="n"/>
      <c r="D9" s="44" t="n"/>
      <c r="E9" s="44" t="n"/>
      <c r="F9" s="44" t="n"/>
      <c r="G9" s="44" t="n"/>
    </row>
    <row r="10">
      <c r="A10" s="44" t="n"/>
      <c r="B10" s="44" t="n"/>
      <c r="C10" s="44" t="n"/>
      <c r="D10" s="44" t="n"/>
      <c r="E10" s="44" t="n"/>
      <c r="F10" s="44" t="n"/>
      <c r="G10" s="44" t="n"/>
    </row>
    <row r="11">
      <c r="A11" s="44" t="n"/>
      <c r="B11" s="44" t="n"/>
      <c r="C11" s="44" t="n"/>
      <c r="D11" s="44" t="n"/>
      <c r="E11" s="44" t="n"/>
      <c r="F11" s="44" t="n"/>
      <c r="G11" s="44" t="n"/>
    </row>
    <row r="12">
      <c r="A12" s="44" t="n"/>
      <c r="B12" s="44" t="n"/>
      <c r="C12" s="44" t="n"/>
      <c r="D12" s="44" t="n"/>
      <c r="E12" s="44" t="n"/>
      <c r="F12" s="44" t="n"/>
      <c r="G12" s="44" t="n"/>
    </row>
    <row r="13">
      <c r="A13" s="44" t="n"/>
      <c r="B13" s="44" t="n"/>
      <c r="C13" s="44" t="n"/>
      <c r="D13" s="44" t="n"/>
      <c r="E13" s="44" t="n"/>
      <c r="F13" s="44" t="n"/>
      <c r="G13" s="44" t="n"/>
    </row>
    <row r="14">
      <c r="A14" s="44" t="n"/>
      <c r="B14" s="44" t="n"/>
      <c r="C14" s="44" t="n"/>
      <c r="D14" s="44" t="n"/>
      <c r="E14" s="44" t="n"/>
      <c r="F14" s="44" t="n"/>
      <c r="G14" s="44" t="n"/>
    </row>
    <row r="15">
      <c r="A15" s="44" t="n"/>
      <c r="B15" s="44" t="n"/>
      <c r="C15" s="44" t="n"/>
      <c r="D15" s="44" t="n"/>
      <c r="E15" s="44" t="n"/>
      <c r="F15" s="44" t="n"/>
      <c r="G15" s="44" t="n"/>
    </row>
    <row r="16">
      <c r="A16" s="44" t="n"/>
      <c r="B16" s="44" t="n"/>
      <c r="C16" s="44" t="n"/>
      <c r="D16" s="44" t="n"/>
      <c r="E16" s="44" t="n"/>
      <c r="F16" s="44" t="n"/>
      <c r="G16" s="44" t="n"/>
    </row>
    <row r="17">
      <c r="A17" s="44" t="n"/>
      <c r="B17" s="44" t="n"/>
      <c r="C17" s="44" t="n"/>
      <c r="D17" s="44" t="n"/>
      <c r="E17" s="44" t="n"/>
      <c r="F17" s="44" t="n"/>
      <c r="G17" s="44" t="n"/>
    </row>
    <row r="18">
      <c r="A18" s="44" t="n"/>
      <c r="B18" s="44" t="n"/>
      <c r="C18" s="44" t="n"/>
      <c r="D18" s="44" t="n"/>
      <c r="E18" s="44" t="n"/>
      <c r="F18" s="44" t="n"/>
      <c r="G18" s="44" t="n"/>
    </row>
    <row r="19">
      <c r="A19" s="44" t="n"/>
      <c r="B19" s="44" t="n"/>
      <c r="C19" s="44" t="n"/>
      <c r="D19" s="44" t="n"/>
      <c r="E19" s="44" t="n"/>
      <c r="F19" s="44" t="n"/>
      <c r="G19" s="44" t="n"/>
    </row>
    <row r="20">
      <c r="A20" s="44" t="n"/>
      <c r="B20" s="44" t="n"/>
      <c r="C20" s="44" t="n"/>
      <c r="D20" s="44" t="n"/>
      <c r="E20" s="44" t="n"/>
      <c r="F20" s="44" t="n"/>
      <c r="G20" s="44" t="n"/>
    </row>
    <row r="21">
      <c r="A21" s="44" t="n"/>
      <c r="B21" s="44" t="n"/>
      <c r="C21" s="44" t="n"/>
      <c r="D21" s="44" t="n"/>
      <c r="E21" s="44" t="n"/>
      <c r="F21" s="44" t="n"/>
      <c r="G21" s="44" t="n"/>
    </row>
    <row r="22">
      <c r="A22" s="44" t="n"/>
      <c r="B22" s="44" t="n"/>
      <c r="C22" s="44" t="n"/>
      <c r="D22" s="44" t="n"/>
      <c r="E22" s="44" t="n"/>
      <c r="F22" s="44" t="n"/>
      <c r="G22" s="44" t="n"/>
    </row>
    <row r="23">
      <c r="A23" s="44" t="n"/>
      <c r="B23" s="44" t="n"/>
      <c r="C23" s="44" t="n"/>
      <c r="D23" s="44" t="n"/>
      <c r="E23" s="44" t="n"/>
      <c r="F23" s="44" t="n"/>
      <c r="G23" s="44" t="n"/>
    </row>
    <row r="24">
      <c r="A24" s="44" t="n"/>
      <c r="B24" s="44" t="n"/>
      <c r="C24" s="44" t="n"/>
      <c r="D24" s="44" t="n"/>
      <c r="E24" s="44" t="n"/>
      <c r="F24" s="44" t="n"/>
      <c r="G24" s="44" t="n"/>
    </row>
    <row r="27">
      <c r="A27" s="43" t="inlineStr">
        <is>
          <t>Známé rozpory ve zdrojích</t>
        </is>
      </c>
    </row>
    <row r="28">
      <c r="A28" s="62" t="inlineStr">
        <is>
          <t>Téma / tvrzení</t>
        </is>
      </c>
      <c r="B28" s="62" t="inlineStr">
        <is>
          <t>Zdroj A říká</t>
        </is>
      </c>
      <c r="C28" s="62" t="inlineStr">
        <is>
          <t>Zdroj B říká</t>
        </is>
      </c>
      <c r="D28" s="62" t="inlineStr">
        <is>
          <t>Platné znění (rozhodnutí autora)</t>
        </is>
      </c>
    </row>
    <row r="29">
      <c r="A29" s="44" t="n"/>
      <c r="B29" s="44" t="n"/>
      <c r="C29" s="44" t="n"/>
      <c r="D29" s="44" t="n"/>
    </row>
    <row r="30">
      <c r="A30" s="44" t="n"/>
      <c r="B30" s="44" t="n"/>
      <c r="C30" s="44" t="n"/>
      <c r="D30" s="44" t="n"/>
    </row>
    <row r="31">
      <c r="A31" s="44" t="n"/>
      <c r="B31" s="44" t="n"/>
      <c r="C31" s="44" t="n"/>
      <c r="D31" s="44" t="n"/>
    </row>
    <row r="32">
      <c r="A32" s="44" t="n"/>
      <c r="B32" s="44" t="n"/>
      <c r="C32" s="44" t="n"/>
      <c r="D32" s="44" t="n"/>
    </row>
    <row r="33">
      <c r="A33" s="44" t="n"/>
      <c r="B33" s="44" t="n"/>
      <c r="C33" s="44" t="n"/>
      <c r="D33" s="44" t="n"/>
    </row>
    <row r="34">
      <c r="A34" s="44" t="n"/>
      <c r="B34" s="44" t="n"/>
      <c r="C34" s="44" t="n"/>
      <c r="D34" s="44" t="n"/>
    </row>
  </sheetData>
  <mergeCells count="3">
    <mergeCell ref="A27:G27"/>
    <mergeCell ref="A2:G2"/>
    <mergeCell ref="A1:G1"/>
  </mergeCells>
  <dataValidations count="4">
    <dataValidation sqref="B5:B24" showDropDown="0" showInputMessage="0" showErrorMessage="0" allowBlank="1" type="list">
      <formula1>"md,docx"</formula1>
    </dataValidation>
    <dataValidation sqref="C5:C24" showDropDown="0" showInputMessage="0" showErrorMessage="0" allowBlank="1" type="list">
      <formula1>"Obsah,Pravidla pro tvorbu,Hotový kurz"</formula1>
    </dataValidation>
    <dataValidation sqref="D5:D24" showDropDown="0" showInputMessage="0" showErrorMessage="0" allowBlank="1" type="list">
      <formula1>"1,2,3,4,5,Capstone,celý kurz"</formula1>
    </dataValidation>
    <dataValidation sqref="F5:F24" showDropDown="0" showInputMessage="0" showErrorMessage="0" allowBlank="1" type="list">
      <formula1>"ano,ne,částečně"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D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26" min="1" max="1"/>
    <col width="35" customWidth="1" style="26" min="2" max="2"/>
    <col width="5" customWidth="1" style="26" min="3" max="3"/>
    <col width="35" customWidth="1" style="26" min="4" max="4"/>
  </cols>
  <sheetData>
    <row r="1" ht="27.75" customHeight="1" s="27">
      <c r="A1" s="63" t="inlineStr">
        <is>
          <t>MODUL 1</t>
        </is>
      </c>
    </row>
    <row r="2" ht="42" customHeight="1" s="27">
      <c r="A2" s="38" t="inlineStr">
        <is>
          <t>💡 OBJECTIVES (ID) odkazují na list 3_OBJECTIVES. Neurovědní princip = kód NP-XX z listu CIS_Neuroveda. Formát F2/F3 = kód FMT-XX z listu CIS_Formaty. F1 PREZENTACE 5–10 min podle úrovně a náročnosti (CIS_Urovne). F4 APLIKACE nelze přeskočit.</t>
        </is>
      </c>
    </row>
    <row r="3"/>
    <row r="4" ht="37.5" customHeight="1" s="27">
      <c r="A4" s="30" t="inlineStr">
        <is>
          <t>Název modulu</t>
        </is>
      </c>
      <c r="B4" s="40" t="n"/>
      <c r="C4" s="41" t="n"/>
      <c r="D4" s="41" t="n"/>
    </row>
    <row r="5" ht="37.5" customHeight="1" s="27">
      <c r="A5" s="30" t="inlineStr">
        <is>
          <t>Délka modulu (min)</t>
        </is>
      </c>
      <c r="B5" s="40" t="n"/>
      <c r="C5" s="41" t="n"/>
      <c r="D5" s="41" t="n"/>
    </row>
    <row r="6" ht="37.5" customHeight="1" s="27">
      <c r="A6" s="30" t="inlineStr">
        <is>
          <t>IMPULS</t>
        </is>
      </c>
      <c r="B6" s="40" t="n"/>
      <c r="C6" s="41" t="n"/>
      <c r="D6" s="41" t="n"/>
    </row>
    <row r="7" ht="37.5" customHeight="1" s="27">
      <c r="A7" s="30" t="inlineStr">
        <is>
          <t>OBJECTIVES (ID)</t>
        </is>
      </c>
      <c r="B7" s="40" t="n"/>
      <c r="C7" s="41" t="n"/>
      <c r="D7" s="41" t="n"/>
    </row>
    <row r="8" ht="37.5" customHeight="1" s="27">
      <c r="A8" s="30" t="inlineStr">
        <is>
          <t>Skip povolen?</t>
        </is>
      </c>
      <c r="B8" s="40" t="n"/>
      <c r="C8" s="41" t="n"/>
      <c r="D8" s="41" t="n"/>
    </row>
    <row r="9" ht="37.5" customHeight="1" s="27">
      <c r="A9" s="30" t="inlineStr">
        <is>
          <t>Vazba na GOALS</t>
        </is>
      </c>
      <c r="B9" s="40" t="n"/>
      <c r="C9" s="41" t="n"/>
      <c r="D9" s="41" t="n"/>
    </row>
    <row r="10" ht="37.5" customHeight="1" s="27">
      <c r="A10" s="30" t="inlineStr">
        <is>
          <t>Větvení dle profilu</t>
        </is>
      </c>
      <c r="B10" s="40" t="n"/>
      <c r="C10" s="41" t="n"/>
      <c r="D10" s="41" t="n"/>
    </row>
    <row r="11"/>
    <row r="12" ht="19.5" customHeight="1" s="27">
      <c r="A12" s="39" t="inlineStr">
        <is>
          <t>F1  PREZENTACE  (5–10 min podle úrovně a náročnosti, začíná IMPULSEM)</t>
        </is>
      </c>
    </row>
    <row r="13" ht="37.5" customHeight="1" s="27">
      <c r="A13" s="30" t="inlineStr">
        <is>
          <t>Délka F1 (min)</t>
        </is>
      </c>
      <c r="B13" s="40" t="n"/>
      <c r="C13" s="41" t="n"/>
      <c r="D13" s="41" t="n"/>
    </row>
    <row r="14" ht="37.5" customHeight="1" s="27">
      <c r="A14" s="30" t="inlineStr">
        <is>
          <t>F1 — Obsah výkladu</t>
        </is>
      </c>
      <c r="B14" s="40" t="n"/>
      <c r="C14" s="41" t="n"/>
      <c r="D14" s="41" t="n"/>
    </row>
    <row r="15"/>
    <row r="16" ht="19.5" customHeight="1" s="27">
      <c r="A16" s="39" t="inlineStr">
        <is>
          <t>F2  PROCVIČENÍ</t>
        </is>
      </c>
    </row>
    <row r="17" ht="37.5" customHeight="1" s="27">
      <c r="A17" s="30" t="inlineStr">
        <is>
          <t>Délka F2 (min)</t>
        </is>
      </c>
      <c r="B17" s="40" t="n"/>
      <c r="C17" s="41" t="n"/>
      <c r="D17" s="41" t="n"/>
    </row>
    <row r="18" ht="37.5" customHeight="1" s="27">
      <c r="A18" s="30" t="inlineStr">
        <is>
          <t>F2 — Formát interakce</t>
        </is>
      </c>
      <c r="B18" s="40" t="n"/>
      <c r="C18" s="41" t="n"/>
      <c r="D18" s="41" t="n"/>
    </row>
    <row r="19" ht="37.5" customHeight="1" s="27">
      <c r="A19" s="30" t="inlineStr">
        <is>
          <t>F2 — Konkrétní znění / instrukce pro agenta</t>
        </is>
      </c>
      <c r="B19" s="40" t="n"/>
      <c r="C19" s="41" t="n"/>
      <c r="D19" s="41" t="n"/>
    </row>
    <row r="20"/>
    <row r="21" ht="19.5" customHeight="1" s="27">
      <c r="A21" s="39" t="inlineStr">
        <is>
          <t>F3  OVĚŘENÍ</t>
        </is>
      </c>
    </row>
    <row r="22" ht="37.5" customHeight="1" s="27">
      <c r="A22" s="30" t="inlineStr">
        <is>
          <t>Délka F3 (min)</t>
        </is>
      </c>
      <c r="B22" s="40" t="n"/>
      <c r="C22" s="41" t="n"/>
      <c r="D22" s="41" t="n"/>
    </row>
    <row r="23" ht="37.5" customHeight="1" s="27">
      <c r="A23" s="30" t="inlineStr">
        <is>
          <t>F3 — Formát interakce</t>
        </is>
      </c>
      <c r="B23" s="40" t="n"/>
      <c r="C23" s="41" t="n"/>
      <c r="D23" s="41" t="n"/>
    </row>
    <row r="24" ht="37.5" customHeight="1" s="27">
      <c r="A24" s="30" t="inlineStr">
        <is>
          <t>F3 — Konkrétní znění / instrukce pro agenta</t>
        </is>
      </c>
      <c r="B24" s="40" t="n"/>
      <c r="C24" s="41" t="n"/>
      <c r="D24" s="41" t="n"/>
    </row>
    <row r="25"/>
    <row r="26" ht="19.5" customHeight="1" s="27">
      <c r="A26" s="39" t="inlineStr">
        <is>
          <t>F4  APLIKACE  (nelze přeskočit)</t>
        </is>
      </c>
    </row>
    <row r="27" ht="37.5" customHeight="1" s="27">
      <c r="A27" s="30" t="inlineStr">
        <is>
          <t>Délka F4 (min)</t>
        </is>
      </c>
      <c r="B27" s="40" t="n"/>
      <c r="C27" s="41" t="n"/>
      <c r="D27" s="41" t="n"/>
    </row>
    <row r="28" ht="37.5" customHeight="1" s="27">
      <c r="A28" s="30" t="inlineStr">
        <is>
          <t>F4 — Co uživatel vytvoří</t>
        </is>
      </c>
      <c r="B28" s="40" t="n"/>
      <c r="C28" s="41" t="n"/>
      <c r="D28" s="41" t="n"/>
    </row>
    <row r="29"/>
    <row r="30" ht="19.5" customHeight="1" s="27">
      <c r="A30" s="39" t="inlineStr">
        <is>
          <t>Neurovědní principy v modulu</t>
        </is>
      </c>
    </row>
    <row r="31" ht="37.5" customHeight="1" s="27">
      <c r="A31" s="30" t="inlineStr">
        <is>
          <t>Kódy principů (z CIS_Neuroveda)</t>
        </is>
      </c>
      <c r="B31" s="40" t="n"/>
      <c r="C31" s="41" t="n"/>
      <c r="D31" s="41" t="n"/>
    </row>
    <row r="32" ht="37.5" customHeight="1" s="27">
      <c r="A32" s="30" t="inlineStr">
        <is>
          <t>Implementace principů (fáze + popis)</t>
        </is>
      </c>
      <c r="B32" s="40" t="n"/>
      <c r="C32" s="41" t="n"/>
      <c r="D32" s="41" t="n"/>
    </row>
    <row r="33"/>
    <row r="34" ht="19.5" customHeight="1" s="27">
      <c r="A34" s="39" t="inlineStr">
        <is>
          <t>Průběžné hodnocení modulu</t>
        </is>
      </c>
    </row>
    <row r="35" ht="37.5" customHeight="1" s="27">
      <c r="A35" s="30" t="inlineStr">
        <is>
          <t>Formát průběžného hodnocení</t>
        </is>
      </c>
      <c r="B35" s="40" t="n"/>
      <c r="C35" s="41" t="n"/>
      <c r="D35" s="41" t="n"/>
    </row>
    <row r="36" ht="37.5" customHeight="1" s="27">
      <c r="A36" s="30" t="inlineStr">
        <is>
          <t>Konkrétní znění / instrukce</t>
        </is>
      </c>
      <c r="B36" s="40" t="n"/>
      <c r="C36" s="41" t="n"/>
      <c r="D36" s="41" t="n"/>
    </row>
    <row r="37" ht="37.5" customHeight="1" s="27">
      <c r="A37" s="30" t="inlineStr">
        <is>
          <t>Hodnotitel</t>
        </is>
      </c>
      <c r="B37" s="40" t="n"/>
      <c r="C37" s="41" t="n"/>
      <c r="D37" s="41" t="n"/>
    </row>
    <row r="39">
      <c r="A39" s="43" t="inlineStr">
        <is>
          <t>PARAMETRY PRO GENERÁTOR A KONTROLA (v7)</t>
        </is>
      </c>
    </row>
    <row r="40" ht="30" customHeight="1" s="27">
      <c r="A40" s="45" t="inlineStr">
        <is>
          <t>Náročnost tématu</t>
        </is>
      </c>
      <c r="B40" s="46" t="n"/>
      <c r="C40" s="41" t="n"/>
      <c r="D40" s="41" t="n"/>
    </row>
    <row r="41" ht="30" customHeight="1" s="27">
      <c r="A41" s="45" t="inlineStr">
        <is>
          <t>Orientační rozsah F1 (auto)</t>
        </is>
      </c>
      <c r="B41" s="47">
        <f>IF(OR('1_Identifikace'!$B$16="",B40=""),"",IFERROR(INDEX(CIS_Urovne!$E$5:$E$10,MATCH('1_Identifikace'!$B$16&amp;"|"&amp;IF(B40="vysoká","vysoká","běžná"),CIS_Urovne!$H$5:$H$10,0))&amp;" min (≈ "&amp;INDEX(CIS_Urovne!$F$5:$F$10,MATCH('1_Identifikace'!$B$16&amp;"|"&amp;IF(B40="vysoká","vysoká","běžná"),CIS_Urovne!$H$5:$H$10,0))&amp;" slov)",""))</f>
        <v/>
      </c>
      <c r="C41" s="41" t="n"/>
      <c r="D41" s="41" t="n"/>
    </row>
    <row r="42" ht="30" customHeight="1" s="27">
      <c r="A42" s="45" t="inlineStr">
        <is>
          <t>Kontrola součtu fází (auto)</t>
        </is>
      </c>
      <c r="B42" s="47">
        <f>IF(OR(B5="",B13=""),"",IF(B13+B17+B22+B27=B5,"OK","SOUČET "&amp;(B13+B17+B22+B27)&amp;" ≠ "&amp;B5))</f>
        <v/>
      </c>
      <c r="C42" s="41" t="n"/>
      <c r="D42" s="41" t="n"/>
    </row>
    <row r="43" ht="60" customHeight="1" s="27">
      <c r="A43" s="45" t="inlineStr">
        <is>
          <t>Otevřené problémy pro metodika</t>
        </is>
      </c>
      <c r="B43" s="46" t="n"/>
      <c r="C43" s="41" t="n"/>
      <c r="D43" s="41" t="n"/>
    </row>
  </sheetData>
  <mergeCells count="35">
    <mergeCell ref="B42:D42"/>
    <mergeCell ref="B14:D14"/>
    <mergeCell ref="B23:D23"/>
    <mergeCell ref="B8:D8"/>
    <mergeCell ref="B17:D17"/>
    <mergeCell ref="B13:D13"/>
    <mergeCell ref="B10:D10"/>
    <mergeCell ref="B28:D28"/>
    <mergeCell ref="B19:D19"/>
    <mergeCell ref="B37:D37"/>
    <mergeCell ref="A34:D34"/>
    <mergeCell ref="A30:D30"/>
    <mergeCell ref="A39:D39"/>
    <mergeCell ref="B40:D40"/>
    <mergeCell ref="B9:D9"/>
    <mergeCell ref="B6:D6"/>
    <mergeCell ref="B24:D24"/>
    <mergeCell ref="A1:D1"/>
    <mergeCell ref="B5:D5"/>
    <mergeCell ref="B36:D36"/>
    <mergeCell ref="B41:D41"/>
    <mergeCell ref="B32:D32"/>
    <mergeCell ref="B4:D4"/>
    <mergeCell ref="B35:D35"/>
    <mergeCell ref="A16:D16"/>
    <mergeCell ref="B7:D7"/>
    <mergeCell ref="B31:D31"/>
    <mergeCell ref="A12:D12"/>
    <mergeCell ref="B22:D22"/>
    <mergeCell ref="A26:D26"/>
    <mergeCell ref="A21:D21"/>
    <mergeCell ref="B18:D18"/>
    <mergeCell ref="B27:D27"/>
    <mergeCell ref="A2:D2"/>
    <mergeCell ref="B43:D43"/>
  </mergeCells>
  <dataValidations count="4">
    <dataValidation sqref="B8:D8" showDropDown="0" showInputMessage="0" showErrorMessage="0" allowBlank="1" type="list" errorStyle="stop" operator="between">
      <formula1>"ano,ne"</formula1>
      <formula2>0</formula2>
    </dataValidation>
    <dataValidation sqref="B37:D37" showDropDown="0" showInputMessage="0" showErrorMessage="0" allowBlank="1" type="list" errorStyle="stop" operator="between">
      <formula1>"AI (výhradně),Lektor,Garant,Uživatel (sebehodnocení),Kombinace"</formula1>
      <formula2>0</formula2>
    </dataValidation>
    <dataValidation sqref="B13" showDropDown="0" showInputMessage="0" showErrorMessage="1" allowBlank="1" errorTitle="F1 mimo rozsah" error="F1 PREZENTACE trvá 5–10 minut." type="whole" operator="between">
      <formula1>5</formula1>
      <formula2>10</formula2>
    </dataValidation>
    <dataValidation sqref="B40" showDropDown="0" showInputMessage="0" showErrorMessage="0" allowBlank="1" type="list">
      <formula1>"nízká,střední,vysoká"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D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26" min="1" max="1"/>
    <col width="35" customWidth="1" style="26" min="2" max="2"/>
    <col width="5" customWidth="1" style="26" min="3" max="3"/>
    <col width="35" customWidth="1" style="26" min="4" max="4"/>
  </cols>
  <sheetData>
    <row r="1" ht="27.75" customHeight="1" s="27">
      <c r="A1" s="63" t="inlineStr">
        <is>
          <t>MODUL 2</t>
        </is>
      </c>
    </row>
    <row r="2" ht="42" customHeight="1" s="27">
      <c r="A2" s="38" t="inlineStr">
        <is>
          <t>💡 OBJECTIVES (ID) odkazují na list 3_OBJECTIVES. Neurovědní princip = kód NP-XX z listu CIS_Neuroveda. Formát F2/F3 = kód FMT-XX z listu CIS_Formaty. F1 PREZENTACE 5–10 min podle úrovně a náročnosti (CIS_Urovne). F4 APLIKACE nelze přeskočit.</t>
        </is>
      </c>
    </row>
    <row r="3"/>
    <row r="4" ht="37.5" customHeight="1" s="27">
      <c r="A4" s="30" t="inlineStr">
        <is>
          <t>Název modulu</t>
        </is>
      </c>
      <c r="B4" s="40" t="n"/>
      <c r="C4" s="41" t="n"/>
      <c r="D4" s="41" t="n"/>
    </row>
    <row r="5" ht="37.5" customHeight="1" s="27">
      <c r="A5" s="30" t="inlineStr">
        <is>
          <t>Délka modulu (min)</t>
        </is>
      </c>
      <c r="B5" s="40" t="n"/>
      <c r="C5" s="41" t="n"/>
      <c r="D5" s="41" t="n"/>
    </row>
    <row r="6" ht="37.5" customHeight="1" s="27">
      <c r="A6" s="30" t="inlineStr">
        <is>
          <t>IMPULS</t>
        </is>
      </c>
      <c r="B6" s="40" t="n"/>
      <c r="C6" s="41" t="n"/>
      <c r="D6" s="41" t="n"/>
    </row>
    <row r="7" ht="37.5" customHeight="1" s="27">
      <c r="A7" s="30" t="inlineStr">
        <is>
          <t>OBJECTIVES (ID)</t>
        </is>
      </c>
      <c r="B7" s="40" t="n"/>
      <c r="C7" s="41" t="n"/>
      <c r="D7" s="41" t="n"/>
    </row>
    <row r="8" ht="37.5" customHeight="1" s="27">
      <c r="A8" s="30" t="inlineStr">
        <is>
          <t>Skip povolen?</t>
        </is>
      </c>
      <c r="B8" s="40" t="n"/>
      <c r="C8" s="41" t="n"/>
      <c r="D8" s="41" t="n"/>
    </row>
    <row r="9" ht="37.5" customHeight="1" s="27">
      <c r="A9" s="30" t="inlineStr">
        <is>
          <t>Vazba na GOALS</t>
        </is>
      </c>
      <c r="B9" s="40" t="n"/>
      <c r="C9" s="41" t="n"/>
      <c r="D9" s="41" t="n"/>
    </row>
    <row r="10" ht="37.5" customHeight="1" s="27">
      <c r="A10" s="30" t="inlineStr">
        <is>
          <t>Větvení dle profilu</t>
        </is>
      </c>
      <c r="B10" s="40" t="n"/>
      <c r="C10" s="41" t="n"/>
      <c r="D10" s="41" t="n"/>
    </row>
    <row r="11"/>
    <row r="12" ht="19.5" customHeight="1" s="27">
      <c r="A12" s="39" t="inlineStr">
        <is>
          <t>F1  PREZENTACE  (5–10 min podle úrovně a náročnosti, začíná IMPULSEM)</t>
        </is>
      </c>
    </row>
    <row r="13" ht="37.5" customHeight="1" s="27">
      <c r="A13" s="30" t="inlineStr">
        <is>
          <t>Délka F1 (min)</t>
        </is>
      </c>
      <c r="B13" s="40" t="n"/>
      <c r="C13" s="41" t="n"/>
      <c r="D13" s="41" t="n"/>
    </row>
    <row r="14" ht="37.5" customHeight="1" s="27">
      <c r="A14" s="30" t="inlineStr">
        <is>
          <t>F1 — Obsah výkladu</t>
        </is>
      </c>
      <c r="B14" s="40" t="n"/>
      <c r="C14" s="41" t="n"/>
      <c r="D14" s="41" t="n"/>
    </row>
    <row r="15"/>
    <row r="16" ht="19.5" customHeight="1" s="27">
      <c r="A16" s="39" t="inlineStr">
        <is>
          <t>F2  PROCVIČENÍ</t>
        </is>
      </c>
    </row>
    <row r="17" ht="37.5" customHeight="1" s="27">
      <c r="A17" s="30" t="inlineStr">
        <is>
          <t>Délka F2 (min)</t>
        </is>
      </c>
      <c r="B17" s="40" t="n"/>
      <c r="C17" s="41" t="n"/>
      <c r="D17" s="41" t="n"/>
    </row>
    <row r="18" ht="37.5" customHeight="1" s="27">
      <c r="A18" s="30" t="inlineStr">
        <is>
          <t>F2 — Formát interakce</t>
        </is>
      </c>
      <c r="B18" s="40" t="n"/>
      <c r="C18" s="41" t="n"/>
      <c r="D18" s="41" t="n"/>
    </row>
    <row r="19" ht="37.5" customHeight="1" s="27">
      <c r="A19" s="30" t="inlineStr">
        <is>
          <t>F2 — Konkrétní znění / instrukce pro agenta</t>
        </is>
      </c>
      <c r="B19" s="40" t="n"/>
      <c r="C19" s="41" t="n"/>
      <c r="D19" s="41" t="n"/>
    </row>
    <row r="20"/>
    <row r="21" ht="19.5" customHeight="1" s="27">
      <c r="A21" s="39" t="inlineStr">
        <is>
          <t>F3  OVĚŘENÍ</t>
        </is>
      </c>
    </row>
    <row r="22" ht="37.5" customHeight="1" s="27">
      <c r="A22" s="30" t="inlineStr">
        <is>
          <t>Délka F3 (min)</t>
        </is>
      </c>
      <c r="B22" s="40" t="n"/>
      <c r="C22" s="41" t="n"/>
      <c r="D22" s="41" t="n"/>
    </row>
    <row r="23" ht="37.5" customHeight="1" s="27">
      <c r="A23" s="30" t="inlineStr">
        <is>
          <t>F3 — Formát interakce</t>
        </is>
      </c>
      <c r="B23" s="40" t="n"/>
      <c r="C23" s="41" t="n"/>
      <c r="D23" s="41" t="n"/>
    </row>
    <row r="24" ht="37.5" customHeight="1" s="27">
      <c r="A24" s="30" t="inlineStr">
        <is>
          <t>F3 — Konkrétní znění / instrukce pro agenta</t>
        </is>
      </c>
      <c r="B24" s="40" t="n"/>
      <c r="C24" s="41" t="n"/>
      <c r="D24" s="41" t="n"/>
    </row>
    <row r="25"/>
    <row r="26" ht="19.5" customHeight="1" s="27">
      <c r="A26" s="39" t="inlineStr">
        <is>
          <t>F4  APLIKACE  (nelze přeskočit)</t>
        </is>
      </c>
    </row>
    <row r="27" ht="37.5" customHeight="1" s="27">
      <c r="A27" s="30" t="inlineStr">
        <is>
          <t>Délka F4 (min)</t>
        </is>
      </c>
      <c r="B27" s="40" t="n"/>
      <c r="C27" s="41" t="n"/>
      <c r="D27" s="41" t="n"/>
    </row>
    <row r="28" ht="37.5" customHeight="1" s="27">
      <c r="A28" s="30" t="inlineStr">
        <is>
          <t>F4 — Co uživatel vytvoří</t>
        </is>
      </c>
      <c r="B28" s="40" t="n"/>
      <c r="C28" s="41" t="n"/>
      <c r="D28" s="41" t="n"/>
    </row>
    <row r="29"/>
    <row r="30" ht="19.5" customHeight="1" s="27">
      <c r="A30" s="39" t="inlineStr">
        <is>
          <t>Neurovědní principy v modulu</t>
        </is>
      </c>
    </row>
    <row r="31" ht="37.5" customHeight="1" s="27">
      <c r="A31" s="30" t="inlineStr">
        <is>
          <t>Kódy principů (z CIS_Neuroveda)</t>
        </is>
      </c>
      <c r="B31" s="40" t="n"/>
      <c r="C31" s="41" t="n"/>
      <c r="D31" s="41" t="n"/>
    </row>
    <row r="32" ht="37.5" customHeight="1" s="27">
      <c r="A32" s="30" t="inlineStr">
        <is>
          <t>Implementace principů (fáze + popis)</t>
        </is>
      </c>
      <c r="B32" s="40" t="n"/>
      <c r="C32" s="41" t="n"/>
      <c r="D32" s="41" t="n"/>
    </row>
    <row r="33"/>
    <row r="34" ht="19.5" customHeight="1" s="27">
      <c r="A34" s="39" t="inlineStr">
        <is>
          <t>Průběžné hodnocení modulu</t>
        </is>
      </c>
    </row>
    <row r="35" ht="37.5" customHeight="1" s="27">
      <c r="A35" s="30" t="inlineStr">
        <is>
          <t>Formát průběžného hodnocení</t>
        </is>
      </c>
      <c r="B35" s="40" t="n"/>
      <c r="C35" s="41" t="n"/>
      <c r="D35" s="41" t="n"/>
    </row>
    <row r="36" ht="37.5" customHeight="1" s="27">
      <c r="A36" s="30" t="inlineStr">
        <is>
          <t>Konkrétní znění / instrukce</t>
        </is>
      </c>
      <c r="B36" s="40" t="n"/>
      <c r="C36" s="41" t="n"/>
      <c r="D36" s="41" t="n"/>
    </row>
    <row r="37" ht="37.5" customHeight="1" s="27">
      <c r="A37" s="30" t="inlineStr">
        <is>
          <t>Hodnotitel</t>
        </is>
      </c>
      <c r="B37" s="40" t="n"/>
      <c r="C37" s="41" t="n"/>
      <c r="D37" s="41" t="n"/>
    </row>
    <row r="39">
      <c r="A39" s="43" t="inlineStr">
        <is>
          <t>PARAMETRY PRO GENERÁTOR A KONTROLA (v7)</t>
        </is>
      </c>
    </row>
    <row r="40" ht="30" customHeight="1" s="27">
      <c r="A40" s="45" t="inlineStr">
        <is>
          <t>Náročnost tématu</t>
        </is>
      </c>
      <c r="B40" s="46" t="n"/>
      <c r="C40" s="41" t="n"/>
      <c r="D40" s="41" t="n"/>
    </row>
    <row r="41" ht="30" customHeight="1" s="27">
      <c r="A41" s="45" t="inlineStr">
        <is>
          <t>Orientační rozsah F1 (auto)</t>
        </is>
      </c>
      <c r="B41" s="47">
        <f>IF(OR('1_Identifikace'!$B$16="",B40=""),"",IFERROR(INDEX(CIS_Urovne!$E$5:$E$10,MATCH('1_Identifikace'!$B$16&amp;"|"&amp;IF(B40="vysoká","vysoká","běžná"),CIS_Urovne!$H$5:$H$10,0))&amp;" min (≈ "&amp;INDEX(CIS_Urovne!$F$5:$F$10,MATCH('1_Identifikace'!$B$16&amp;"|"&amp;IF(B40="vysoká","vysoká","běžná"),CIS_Urovne!$H$5:$H$10,0))&amp;" slov)",""))</f>
        <v/>
      </c>
      <c r="C41" s="41" t="n"/>
      <c r="D41" s="41" t="n"/>
    </row>
    <row r="42" ht="30" customHeight="1" s="27">
      <c r="A42" s="45" t="inlineStr">
        <is>
          <t>Kontrola součtu fází (auto)</t>
        </is>
      </c>
      <c r="B42" s="47">
        <f>IF(OR(B5="",B13=""),"",IF(B13+B17+B22+B27=B5,"OK","SOUČET "&amp;(B13+B17+B22+B27)&amp;" ≠ "&amp;B5))</f>
        <v/>
      </c>
      <c r="C42" s="41" t="n"/>
      <c r="D42" s="41" t="n"/>
    </row>
    <row r="43" ht="60" customHeight="1" s="27">
      <c r="A43" s="45" t="inlineStr">
        <is>
          <t>Otevřené problémy pro metodika</t>
        </is>
      </c>
      <c r="B43" s="46" t="n"/>
      <c r="C43" s="41" t="n"/>
      <c r="D43" s="41" t="n"/>
    </row>
  </sheetData>
  <mergeCells count="35">
    <mergeCell ref="B42:D42"/>
    <mergeCell ref="B14:D14"/>
    <mergeCell ref="B23:D23"/>
    <mergeCell ref="B8:D8"/>
    <mergeCell ref="B17:D17"/>
    <mergeCell ref="B13:D13"/>
    <mergeCell ref="B10:D10"/>
    <mergeCell ref="B28:D28"/>
    <mergeCell ref="B19:D19"/>
    <mergeCell ref="B37:D37"/>
    <mergeCell ref="A34:D34"/>
    <mergeCell ref="A30:D30"/>
    <mergeCell ref="A39:D39"/>
    <mergeCell ref="B40:D40"/>
    <mergeCell ref="B9:D9"/>
    <mergeCell ref="B6:D6"/>
    <mergeCell ref="B24:D24"/>
    <mergeCell ref="A1:D1"/>
    <mergeCell ref="B5:D5"/>
    <mergeCell ref="B36:D36"/>
    <mergeCell ref="B41:D41"/>
    <mergeCell ref="B32:D32"/>
    <mergeCell ref="B4:D4"/>
    <mergeCell ref="B35:D35"/>
    <mergeCell ref="A16:D16"/>
    <mergeCell ref="B7:D7"/>
    <mergeCell ref="B31:D31"/>
    <mergeCell ref="A12:D12"/>
    <mergeCell ref="B22:D22"/>
    <mergeCell ref="A26:D26"/>
    <mergeCell ref="A21:D21"/>
    <mergeCell ref="B18:D18"/>
    <mergeCell ref="B27:D27"/>
    <mergeCell ref="A2:D2"/>
    <mergeCell ref="B43:D43"/>
  </mergeCells>
  <dataValidations count="4">
    <dataValidation sqref="B8:D8" showDropDown="0" showInputMessage="0" showErrorMessage="0" allowBlank="1" type="list" errorStyle="stop" operator="between">
      <formula1>"ano,ne"</formula1>
      <formula2>0</formula2>
    </dataValidation>
    <dataValidation sqref="B37:D37" showDropDown="0" showInputMessage="0" showErrorMessage="0" allowBlank="1" type="list" errorStyle="stop" operator="between">
      <formula1>"AI (výhradně),Lektor,Garant,Uživatel (sebehodnocení),Kombinace"</formula1>
      <formula2>0</formula2>
    </dataValidation>
    <dataValidation sqref="B13" showDropDown="0" showInputMessage="0" showErrorMessage="1" allowBlank="1" errorTitle="F1 mimo rozsah" error="F1 PREZENTACE trvá 5–10 minut." type="whole" operator="between">
      <formula1>5</formula1>
      <formula2>10</formula2>
    </dataValidation>
    <dataValidation sqref="B40" showDropDown="0" showInputMessage="0" showErrorMessage="0" allowBlank="1" type="list">
      <formula1>"nízká,střední,vysoká"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D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26" min="1" max="1"/>
    <col width="35" customWidth="1" style="26" min="2" max="2"/>
    <col width="5" customWidth="1" style="26" min="3" max="3"/>
    <col width="35" customWidth="1" style="26" min="4" max="4"/>
  </cols>
  <sheetData>
    <row r="1" ht="27.75" customHeight="1" s="27">
      <c r="A1" s="63" t="inlineStr">
        <is>
          <t>MODUL 3</t>
        </is>
      </c>
    </row>
    <row r="2" ht="42" customHeight="1" s="27">
      <c r="A2" s="38" t="inlineStr">
        <is>
          <t>💡 OBJECTIVES (ID) odkazují na list 3_OBJECTIVES. Neurovědní princip = kód NP-XX z listu CIS_Neuroveda. Formát F2/F3 = kód FMT-XX z listu CIS_Formaty. F1 PREZENTACE 5–10 min podle úrovně a náročnosti (CIS_Urovne). F4 APLIKACE nelze přeskočit.</t>
        </is>
      </c>
    </row>
    <row r="3"/>
    <row r="4" ht="37.5" customHeight="1" s="27">
      <c r="A4" s="30" t="inlineStr">
        <is>
          <t>Název modulu</t>
        </is>
      </c>
      <c r="B4" s="40" t="n"/>
      <c r="C4" s="41" t="n"/>
      <c r="D4" s="41" t="n"/>
    </row>
    <row r="5" ht="37.5" customHeight="1" s="27">
      <c r="A5" s="30" t="inlineStr">
        <is>
          <t>Délka modulu (min)</t>
        </is>
      </c>
      <c r="B5" s="40" t="n"/>
      <c r="C5" s="41" t="n"/>
      <c r="D5" s="41" t="n"/>
    </row>
    <row r="6" ht="37.5" customHeight="1" s="27">
      <c r="A6" s="30" t="inlineStr">
        <is>
          <t>IMPULS</t>
        </is>
      </c>
      <c r="B6" s="40" t="n"/>
      <c r="C6" s="41" t="n"/>
      <c r="D6" s="41" t="n"/>
    </row>
    <row r="7" ht="37.5" customHeight="1" s="27">
      <c r="A7" s="30" t="inlineStr">
        <is>
          <t>OBJECTIVES (ID)</t>
        </is>
      </c>
      <c r="B7" s="40" t="n"/>
      <c r="C7" s="41" t="n"/>
      <c r="D7" s="41" t="n"/>
    </row>
    <row r="8" ht="37.5" customHeight="1" s="27">
      <c r="A8" s="30" t="inlineStr">
        <is>
          <t>Skip povolen?</t>
        </is>
      </c>
      <c r="B8" s="40" t="n"/>
      <c r="C8" s="41" t="n"/>
      <c r="D8" s="41" t="n"/>
    </row>
    <row r="9" ht="37.5" customHeight="1" s="27">
      <c r="A9" s="30" t="inlineStr">
        <is>
          <t>Vazba na GOALS</t>
        </is>
      </c>
      <c r="B9" s="40" t="n"/>
      <c r="C9" s="41" t="n"/>
      <c r="D9" s="41" t="n"/>
    </row>
    <row r="10" ht="37.5" customHeight="1" s="27">
      <c r="A10" s="30" t="inlineStr">
        <is>
          <t>Větvení dle profilu</t>
        </is>
      </c>
      <c r="B10" s="40" t="n"/>
      <c r="C10" s="41" t="n"/>
      <c r="D10" s="41" t="n"/>
    </row>
    <row r="11"/>
    <row r="12" ht="19.5" customHeight="1" s="27">
      <c r="A12" s="39" t="inlineStr">
        <is>
          <t>F1  PREZENTACE  (5–10 min podle úrovně a náročnosti, začíná IMPULSEM)</t>
        </is>
      </c>
    </row>
    <row r="13" ht="37.5" customHeight="1" s="27">
      <c r="A13" s="30" t="inlineStr">
        <is>
          <t>Délka F1 (min)</t>
        </is>
      </c>
      <c r="B13" s="40" t="n"/>
      <c r="C13" s="41" t="n"/>
      <c r="D13" s="41" t="n"/>
    </row>
    <row r="14" ht="37.5" customHeight="1" s="27">
      <c r="A14" s="30" t="inlineStr">
        <is>
          <t>F1 — Obsah výkladu</t>
        </is>
      </c>
      <c r="B14" s="40" t="n"/>
      <c r="C14" s="41" t="n"/>
      <c r="D14" s="41" t="n"/>
    </row>
    <row r="15"/>
    <row r="16" ht="19.5" customHeight="1" s="27">
      <c r="A16" s="39" t="inlineStr">
        <is>
          <t>F2  PROCVIČENÍ</t>
        </is>
      </c>
    </row>
    <row r="17" ht="37.5" customHeight="1" s="27">
      <c r="A17" s="30" t="inlineStr">
        <is>
          <t>Délka F2 (min)</t>
        </is>
      </c>
      <c r="B17" s="40" t="n"/>
      <c r="C17" s="41" t="n"/>
      <c r="D17" s="41" t="n"/>
    </row>
    <row r="18" ht="37.5" customHeight="1" s="27">
      <c r="A18" s="30" t="inlineStr">
        <is>
          <t>F2 — Formát interakce</t>
        </is>
      </c>
      <c r="B18" s="40" t="n"/>
      <c r="C18" s="41" t="n"/>
      <c r="D18" s="41" t="n"/>
    </row>
    <row r="19" ht="37.5" customHeight="1" s="27">
      <c r="A19" s="30" t="inlineStr">
        <is>
          <t>F2 — Konkrétní znění / instrukce pro agenta</t>
        </is>
      </c>
      <c r="B19" s="40" t="n"/>
      <c r="C19" s="41" t="n"/>
      <c r="D19" s="41" t="n"/>
    </row>
    <row r="20"/>
    <row r="21" ht="19.5" customHeight="1" s="27">
      <c r="A21" s="39" t="inlineStr">
        <is>
          <t>F3  OVĚŘENÍ</t>
        </is>
      </c>
    </row>
    <row r="22" ht="37.5" customHeight="1" s="27">
      <c r="A22" s="30" t="inlineStr">
        <is>
          <t>Délka F3 (min)</t>
        </is>
      </c>
      <c r="B22" s="40" t="n"/>
      <c r="C22" s="41" t="n"/>
      <c r="D22" s="41" t="n"/>
    </row>
    <row r="23" ht="37.5" customHeight="1" s="27">
      <c r="A23" s="30" t="inlineStr">
        <is>
          <t>F3 — Formát interakce</t>
        </is>
      </c>
      <c r="B23" s="40" t="n"/>
      <c r="C23" s="41" t="n"/>
      <c r="D23" s="41" t="n"/>
    </row>
    <row r="24" ht="37.5" customHeight="1" s="27">
      <c r="A24" s="30" t="inlineStr">
        <is>
          <t>F3 — Konkrétní znění / instrukce pro agenta</t>
        </is>
      </c>
      <c r="B24" s="40" t="n"/>
      <c r="C24" s="41" t="n"/>
      <c r="D24" s="41" t="n"/>
    </row>
    <row r="25"/>
    <row r="26" ht="19.5" customHeight="1" s="27">
      <c r="A26" s="39" t="inlineStr">
        <is>
          <t>F4  APLIKACE  (nelze přeskočit)</t>
        </is>
      </c>
    </row>
    <row r="27" ht="37.5" customHeight="1" s="27">
      <c r="A27" s="30" t="inlineStr">
        <is>
          <t>Délka F4 (min)</t>
        </is>
      </c>
      <c r="B27" s="40" t="n"/>
      <c r="C27" s="41" t="n"/>
      <c r="D27" s="41" t="n"/>
    </row>
    <row r="28" ht="37.5" customHeight="1" s="27">
      <c r="A28" s="30" t="inlineStr">
        <is>
          <t>F4 — Co uživatel vytvoří</t>
        </is>
      </c>
      <c r="B28" s="40" t="n"/>
      <c r="C28" s="41" t="n"/>
      <c r="D28" s="41" t="n"/>
    </row>
    <row r="29"/>
    <row r="30" ht="19.5" customHeight="1" s="27">
      <c r="A30" s="39" t="inlineStr">
        <is>
          <t>Neurovědní principy v modulu</t>
        </is>
      </c>
    </row>
    <row r="31" ht="37.5" customHeight="1" s="27">
      <c r="A31" s="30" t="inlineStr">
        <is>
          <t>Kódy principů (z CIS_Neuroveda)</t>
        </is>
      </c>
      <c r="B31" s="40" t="n"/>
      <c r="C31" s="41" t="n"/>
      <c r="D31" s="41" t="n"/>
    </row>
    <row r="32" ht="37.5" customHeight="1" s="27">
      <c r="A32" s="30" t="inlineStr">
        <is>
          <t>Implementace principů (fáze + popis)</t>
        </is>
      </c>
      <c r="B32" s="40" t="n"/>
      <c r="C32" s="41" t="n"/>
      <c r="D32" s="41" t="n"/>
    </row>
    <row r="33"/>
    <row r="34" ht="19.5" customHeight="1" s="27">
      <c r="A34" s="39" t="inlineStr">
        <is>
          <t>Průběžné hodnocení modulu</t>
        </is>
      </c>
    </row>
    <row r="35" ht="37.5" customHeight="1" s="27">
      <c r="A35" s="30" t="inlineStr">
        <is>
          <t>Formát průběžného hodnocení</t>
        </is>
      </c>
      <c r="B35" s="40" t="n"/>
      <c r="C35" s="41" t="n"/>
      <c r="D35" s="41" t="n"/>
    </row>
    <row r="36" ht="37.5" customHeight="1" s="27">
      <c r="A36" s="30" t="inlineStr">
        <is>
          <t>Konkrétní znění / instrukce</t>
        </is>
      </c>
      <c r="B36" s="40" t="n"/>
      <c r="C36" s="41" t="n"/>
      <c r="D36" s="41" t="n"/>
    </row>
    <row r="37" ht="37.5" customHeight="1" s="27">
      <c r="A37" s="30" t="inlineStr">
        <is>
          <t>Hodnotitel</t>
        </is>
      </c>
      <c r="B37" s="40" t="n"/>
      <c r="C37" s="41" t="n"/>
      <c r="D37" s="41" t="n"/>
    </row>
    <row r="39">
      <c r="A39" s="43" t="inlineStr">
        <is>
          <t>PARAMETRY PRO GENERÁTOR A KONTROLA (v7)</t>
        </is>
      </c>
    </row>
    <row r="40" ht="30" customHeight="1" s="27">
      <c r="A40" s="45" t="inlineStr">
        <is>
          <t>Náročnost tématu</t>
        </is>
      </c>
      <c r="B40" s="46" t="n"/>
      <c r="C40" s="41" t="n"/>
      <c r="D40" s="41" t="n"/>
    </row>
    <row r="41" ht="30" customHeight="1" s="27">
      <c r="A41" s="45" t="inlineStr">
        <is>
          <t>Orientační rozsah F1 (auto)</t>
        </is>
      </c>
      <c r="B41" s="47">
        <f>IF(OR('1_Identifikace'!$B$16="",B40=""),"",IFERROR(INDEX(CIS_Urovne!$E$5:$E$10,MATCH('1_Identifikace'!$B$16&amp;"|"&amp;IF(B40="vysoká","vysoká","běžná"),CIS_Urovne!$H$5:$H$10,0))&amp;" min (≈ "&amp;INDEX(CIS_Urovne!$F$5:$F$10,MATCH('1_Identifikace'!$B$16&amp;"|"&amp;IF(B40="vysoká","vysoká","běžná"),CIS_Urovne!$H$5:$H$10,0))&amp;" slov)",""))</f>
        <v/>
      </c>
      <c r="C41" s="41" t="n"/>
      <c r="D41" s="41" t="n"/>
    </row>
    <row r="42" ht="30" customHeight="1" s="27">
      <c r="A42" s="45" t="inlineStr">
        <is>
          <t>Kontrola součtu fází (auto)</t>
        </is>
      </c>
      <c r="B42" s="47">
        <f>IF(OR(B5="",B13=""),"",IF(B13+B17+B22+B27=B5,"OK","SOUČET "&amp;(B13+B17+B22+B27)&amp;" ≠ "&amp;B5))</f>
        <v/>
      </c>
      <c r="C42" s="41" t="n"/>
      <c r="D42" s="41" t="n"/>
    </row>
    <row r="43" ht="60" customHeight="1" s="27">
      <c r="A43" s="45" t="inlineStr">
        <is>
          <t>Otevřené problémy pro metodika</t>
        </is>
      </c>
      <c r="B43" s="46" t="n"/>
      <c r="C43" s="41" t="n"/>
      <c r="D43" s="41" t="n"/>
    </row>
  </sheetData>
  <mergeCells count="35">
    <mergeCell ref="B42:D42"/>
    <mergeCell ref="B14:D14"/>
    <mergeCell ref="B23:D23"/>
    <mergeCell ref="B8:D8"/>
    <mergeCell ref="B17:D17"/>
    <mergeCell ref="B13:D13"/>
    <mergeCell ref="B10:D10"/>
    <mergeCell ref="B28:D28"/>
    <mergeCell ref="B19:D19"/>
    <mergeCell ref="B37:D37"/>
    <mergeCell ref="A34:D34"/>
    <mergeCell ref="A30:D30"/>
    <mergeCell ref="A39:D39"/>
    <mergeCell ref="B40:D40"/>
    <mergeCell ref="B9:D9"/>
    <mergeCell ref="B6:D6"/>
    <mergeCell ref="B24:D24"/>
    <mergeCell ref="A1:D1"/>
    <mergeCell ref="B5:D5"/>
    <mergeCell ref="B36:D36"/>
    <mergeCell ref="B41:D41"/>
    <mergeCell ref="B32:D32"/>
    <mergeCell ref="B4:D4"/>
    <mergeCell ref="B35:D35"/>
    <mergeCell ref="A16:D16"/>
    <mergeCell ref="B7:D7"/>
    <mergeCell ref="B31:D31"/>
    <mergeCell ref="A12:D12"/>
    <mergeCell ref="B22:D22"/>
    <mergeCell ref="A26:D26"/>
    <mergeCell ref="A21:D21"/>
    <mergeCell ref="B18:D18"/>
    <mergeCell ref="B27:D27"/>
    <mergeCell ref="A2:D2"/>
    <mergeCell ref="B43:D43"/>
  </mergeCells>
  <dataValidations count="4">
    <dataValidation sqref="B8:D8" showDropDown="0" showInputMessage="0" showErrorMessage="0" allowBlank="1" type="list" errorStyle="stop" operator="between">
      <formula1>"ano,ne"</formula1>
      <formula2>0</formula2>
    </dataValidation>
    <dataValidation sqref="B37:D37" showDropDown="0" showInputMessage="0" showErrorMessage="0" allowBlank="1" type="list" errorStyle="stop" operator="between">
      <formula1>"AI (výhradně),Lektor,Garant,Uživatel (sebehodnocení),Kombinace"</formula1>
      <formula2>0</formula2>
    </dataValidation>
    <dataValidation sqref="B13" showDropDown="0" showInputMessage="0" showErrorMessage="1" allowBlank="1" errorTitle="F1 mimo rozsah" error="F1 PREZENTACE trvá 5–10 minut." type="whole" operator="between">
      <formula1>5</formula1>
      <formula2>10</formula2>
    </dataValidation>
    <dataValidation sqref="B40" showDropDown="0" showInputMessage="0" showErrorMessage="0" allowBlank="1" type="list">
      <formula1>"nízká,střední,vysoká"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D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26" min="1" max="1"/>
    <col width="35" customWidth="1" style="26" min="2" max="2"/>
    <col width="5" customWidth="1" style="26" min="3" max="3"/>
    <col width="35" customWidth="1" style="26" min="4" max="4"/>
  </cols>
  <sheetData>
    <row r="1" ht="27.75" customHeight="1" s="27">
      <c r="A1" s="63" t="inlineStr">
        <is>
          <t>MODUL 4</t>
        </is>
      </c>
    </row>
    <row r="2" ht="42" customHeight="1" s="27">
      <c r="A2" s="38" t="inlineStr">
        <is>
          <t>💡 OBJECTIVES (ID) odkazují na list 3_OBJECTIVES. Neurovědní princip = kód NP-XX z listu CIS_Neuroveda. Formát F2/F3 = kód FMT-XX z listu CIS_Formaty. F1 PREZENTACE 5–10 min podle úrovně a náročnosti (CIS_Urovne). F4 APLIKACE nelze přeskočit.</t>
        </is>
      </c>
    </row>
    <row r="3"/>
    <row r="4" ht="37.5" customHeight="1" s="27">
      <c r="A4" s="30" t="inlineStr">
        <is>
          <t>Název modulu</t>
        </is>
      </c>
      <c r="B4" s="40" t="n"/>
      <c r="C4" s="41" t="n"/>
      <c r="D4" s="41" t="n"/>
    </row>
    <row r="5" ht="37.5" customHeight="1" s="27">
      <c r="A5" s="30" t="inlineStr">
        <is>
          <t>Délka modulu (min)</t>
        </is>
      </c>
      <c r="B5" s="40" t="n"/>
      <c r="C5" s="41" t="n"/>
      <c r="D5" s="41" t="n"/>
    </row>
    <row r="6" ht="37.5" customHeight="1" s="27">
      <c r="A6" s="30" t="inlineStr">
        <is>
          <t>IMPULS</t>
        </is>
      </c>
      <c r="B6" s="40" t="n"/>
      <c r="C6" s="41" t="n"/>
      <c r="D6" s="41" t="n"/>
    </row>
    <row r="7" ht="37.5" customHeight="1" s="27">
      <c r="A7" s="30" t="inlineStr">
        <is>
          <t>OBJECTIVES (ID)</t>
        </is>
      </c>
      <c r="B7" s="40" t="n"/>
      <c r="C7" s="41" t="n"/>
      <c r="D7" s="41" t="n"/>
    </row>
    <row r="8" ht="37.5" customHeight="1" s="27">
      <c r="A8" s="30" t="inlineStr">
        <is>
          <t>Skip povolen?</t>
        </is>
      </c>
      <c r="B8" s="40" t="n"/>
      <c r="C8" s="41" t="n"/>
      <c r="D8" s="41" t="n"/>
    </row>
    <row r="9" ht="37.5" customHeight="1" s="27">
      <c r="A9" s="30" t="inlineStr">
        <is>
          <t>Vazba na GOALS</t>
        </is>
      </c>
      <c r="B9" s="40" t="n"/>
      <c r="C9" s="41" t="n"/>
      <c r="D9" s="41" t="n"/>
    </row>
    <row r="10" ht="37.5" customHeight="1" s="27">
      <c r="A10" s="30" t="inlineStr">
        <is>
          <t>Větvení dle profilu</t>
        </is>
      </c>
      <c r="B10" s="40" t="n"/>
      <c r="C10" s="41" t="n"/>
      <c r="D10" s="41" t="n"/>
    </row>
    <row r="11"/>
    <row r="12" ht="19.5" customHeight="1" s="27">
      <c r="A12" s="39" t="inlineStr">
        <is>
          <t>F1  PREZENTACE  (5–10 min podle úrovně a náročnosti, začíná IMPULSEM)</t>
        </is>
      </c>
    </row>
    <row r="13" ht="37.5" customHeight="1" s="27">
      <c r="A13" s="30" t="inlineStr">
        <is>
          <t>Délka F1 (min)</t>
        </is>
      </c>
      <c r="B13" s="40" t="n"/>
      <c r="C13" s="41" t="n"/>
      <c r="D13" s="41" t="n"/>
    </row>
    <row r="14" ht="37.5" customHeight="1" s="27">
      <c r="A14" s="30" t="inlineStr">
        <is>
          <t>F1 — Obsah výkladu</t>
        </is>
      </c>
      <c r="B14" s="40" t="n"/>
      <c r="C14" s="41" t="n"/>
      <c r="D14" s="41" t="n"/>
    </row>
    <row r="15"/>
    <row r="16" ht="19.5" customHeight="1" s="27">
      <c r="A16" s="39" t="inlineStr">
        <is>
          <t>F2  PROCVIČENÍ</t>
        </is>
      </c>
    </row>
    <row r="17" ht="37.5" customHeight="1" s="27">
      <c r="A17" s="30" t="inlineStr">
        <is>
          <t>Délka F2 (min)</t>
        </is>
      </c>
      <c r="B17" s="40" t="n"/>
      <c r="C17" s="41" t="n"/>
      <c r="D17" s="41" t="n"/>
    </row>
    <row r="18" ht="37.5" customHeight="1" s="27">
      <c r="A18" s="30" t="inlineStr">
        <is>
          <t>F2 — Formát interakce</t>
        </is>
      </c>
      <c r="B18" s="40" t="n"/>
      <c r="C18" s="41" t="n"/>
      <c r="D18" s="41" t="n"/>
    </row>
    <row r="19" ht="37.5" customHeight="1" s="27">
      <c r="A19" s="30" t="inlineStr">
        <is>
          <t>F2 — Konkrétní znění / instrukce pro agenta</t>
        </is>
      </c>
      <c r="B19" s="40" t="n"/>
      <c r="C19" s="41" t="n"/>
      <c r="D19" s="41" t="n"/>
    </row>
    <row r="20"/>
    <row r="21" ht="19.5" customHeight="1" s="27">
      <c r="A21" s="39" t="inlineStr">
        <is>
          <t>F3  OVĚŘENÍ</t>
        </is>
      </c>
    </row>
    <row r="22" ht="37.5" customHeight="1" s="27">
      <c r="A22" s="30" t="inlineStr">
        <is>
          <t>Délka F3 (min)</t>
        </is>
      </c>
      <c r="B22" s="40" t="n"/>
      <c r="C22" s="41" t="n"/>
      <c r="D22" s="41" t="n"/>
    </row>
    <row r="23" ht="37.5" customHeight="1" s="27">
      <c r="A23" s="30" t="inlineStr">
        <is>
          <t>F3 — Formát interakce</t>
        </is>
      </c>
      <c r="B23" s="40" t="n"/>
      <c r="C23" s="41" t="n"/>
      <c r="D23" s="41" t="n"/>
    </row>
    <row r="24" ht="37.5" customHeight="1" s="27">
      <c r="A24" s="30" t="inlineStr">
        <is>
          <t>F3 — Konkrétní znění / instrukce pro agenta</t>
        </is>
      </c>
      <c r="B24" s="40" t="n"/>
      <c r="C24" s="41" t="n"/>
      <c r="D24" s="41" t="n"/>
    </row>
    <row r="25"/>
    <row r="26" ht="19.5" customHeight="1" s="27">
      <c r="A26" s="39" t="inlineStr">
        <is>
          <t>F4  APLIKACE  (nelze přeskočit)</t>
        </is>
      </c>
    </row>
    <row r="27" ht="37.5" customHeight="1" s="27">
      <c r="A27" s="30" t="inlineStr">
        <is>
          <t>Délka F4 (min)</t>
        </is>
      </c>
      <c r="B27" s="40" t="n"/>
      <c r="C27" s="41" t="n"/>
      <c r="D27" s="41" t="n"/>
    </row>
    <row r="28" ht="37.5" customHeight="1" s="27">
      <c r="A28" s="30" t="inlineStr">
        <is>
          <t>F4 — Co uživatel vytvoří</t>
        </is>
      </c>
      <c r="B28" s="40" t="n"/>
      <c r="C28" s="41" t="n"/>
      <c r="D28" s="41" t="n"/>
    </row>
    <row r="29"/>
    <row r="30" ht="19.5" customHeight="1" s="27">
      <c r="A30" s="39" t="inlineStr">
        <is>
          <t>Neurovědní principy v modulu</t>
        </is>
      </c>
    </row>
    <row r="31" ht="37.5" customHeight="1" s="27">
      <c r="A31" s="30" t="inlineStr">
        <is>
          <t>Kódy principů (z CIS_Neuroveda)</t>
        </is>
      </c>
      <c r="B31" s="40" t="n"/>
      <c r="C31" s="41" t="n"/>
      <c r="D31" s="41" t="n"/>
    </row>
    <row r="32" ht="37.5" customHeight="1" s="27">
      <c r="A32" s="30" t="inlineStr">
        <is>
          <t>Implementace principů (fáze + popis)</t>
        </is>
      </c>
      <c r="B32" s="40" t="n"/>
      <c r="C32" s="41" t="n"/>
      <c r="D32" s="41" t="n"/>
    </row>
    <row r="33"/>
    <row r="34" ht="19.5" customHeight="1" s="27">
      <c r="A34" s="39" t="inlineStr">
        <is>
          <t>Průběžné hodnocení modulu</t>
        </is>
      </c>
    </row>
    <row r="35" ht="37.5" customHeight="1" s="27">
      <c r="A35" s="30" t="inlineStr">
        <is>
          <t>Formát průběžného hodnocení</t>
        </is>
      </c>
      <c r="B35" s="40" t="n"/>
      <c r="C35" s="41" t="n"/>
      <c r="D35" s="41" t="n"/>
    </row>
    <row r="36" ht="37.5" customHeight="1" s="27">
      <c r="A36" s="30" t="inlineStr">
        <is>
          <t>Konkrétní znění / instrukce</t>
        </is>
      </c>
      <c r="B36" s="40" t="n"/>
      <c r="C36" s="41" t="n"/>
      <c r="D36" s="41" t="n"/>
    </row>
    <row r="37" ht="37.5" customHeight="1" s="27">
      <c r="A37" s="30" t="inlineStr">
        <is>
          <t>Hodnotitel</t>
        </is>
      </c>
      <c r="B37" s="40" t="n"/>
      <c r="C37" s="41" t="n"/>
      <c r="D37" s="41" t="n"/>
    </row>
    <row r="39">
      <c r="A39" s="43" t="inlineStr">
        <is>
          <t>PARAMETRY PRO GENERÁTOR A KONTROLA (v7)</t>
        </is>
      </c>
    </row>
    <row r="40" ht="30" customHeight="1" s="27">
      <c r="A40" s="45" t="inlineStr">
        <is>
          <t>Náročnost tématu</t>
        </is>
      </c>
      <c r="B40" s="46" t="n"/>
      <c r="C40" s="41" t="n"/>
      <c r="D40" s="41" t="n"/>
    </row>
    <row r="41" ht="30" customHeight="1" s="27">
      <c r="A41" s="45" t="inlineStr">
        <is>
          <t>Orientační rozsah F1 (auto)</t>
        </is>
      </c>
      <c r="B41" s="47">
        <f>IF(OR('1_Identifikace'!$B$16="",B40=""),"",IFERROR(INDEX(CIS_Urovne!$E$5:$E$10,MATCH('1_Identifikace'!$B$16&amp;"|"&amp;IF(B40="vysoká","vysoká","běžná"),CIS_Urovne!$H$5:$H$10,0))&amp;" min (≈ "&amp;INDEX(CIS_Urovne!$F$5:$F$10,MATCH('1_Identifikace'!$B$16&amp;"|"&amp;IF(B40="vysoká","vysoká","běžná"),CIS_Urovne!$H$5:$H$10,0))&amp;" slov)",""))</f>
        <v/>
      </c>
      <c r="C41" s="41" t="n"/>
      <c r="D41" s="41" t="n"/>
    </row>
    <row r="42" ht="30" customHeight="1" s="27">
      <c r="A42" s="45" t="inlineStr">
        <is>
          <t>Kontrola součtu fází (auto)</t>
        </is>
      </c>
      <c r="B42" s="47">
        <f>IF(OR(B5="",B13=""),"",IF(B13+B17+B22+B27=B5,"OK","SOUČET "&amp;(B13+B17+B22+B27)&amp;" ≠ "&amp;B5))</f>
        <v/>
      </c>
      <c r="C42" s="41" t="n"/>
      <c r="D42" s="41" t="n"/>
    </row>
    <row r="43" ht="60" customHeight="1" s="27">
      <c r="A43" s="45" t="inlineStr">
        <is>
          <t>Otevřené problémy pro metodika</t>
        </is>
      </c>
      <c r="B43" s="46" t="n"/>
      <c r="C43" s="41" t="n"/>
      <c r="D43" s="41" t="n"/>
    </row>
  </sheetData>
  <mergeCells count="35">
    <mergeCell ref="B42:D42"/>
    <mergeCell ref="B14:D14"/>
    <mergeCell ref="B23:D23"/>
    <mergeCell ref="B8:D8"/>
    <mergeCell ref="B17:D17"/>
    <mergeCell ref="B13:D13"/>
    <mergeCell ref="B10:D10"/>
    <mergeCell ref="B28:D28"/>
    <mergeCell ref="B19:D19"/>
    <mergeCell ref="B37:D37"/>
    <mergeCell ref="A34:D34"/>
    <mergeCell ref="A30:D30"/>
    <mergeCell ref="A39:D39"/>
    <mergeCell ref="B40:D40"/>
    <mergeCell ref="B9:D9"/>
    <mergeCell ref="B6:D6"/>
    <mergeCell ref="B24:D24"/>
    <mergeCell ref="A1:D1"/>
    <mergeCell ref="B5:D5"/>
    <mergeCell ref="B36:D36"/>
    <mergeCell ref="B41:D41"/>
    <mergeCell ref="B32:D32"/>
    <mergeCell ref="B4:D4"/>
    <mergeCell ref="B35:D35"/>
    <mergeCell ref="A16:D16"/>
    <mergeCell ref="B7:D7"/>
    <mergeCell ref="B31:D31"/>
    <mergeCell ref="A12:D12"/>
    <mergeCell ref="B22:D22"/>
    <mergeCell ref="A26:D26"/>
    <mergeCell ref="A21:D21"/>
    <mergeCell ref="B18:D18"/>
    <mergeCell ref="B27:D27"/>
    <mergeCell ref="A2:D2"/>
    <mergeCell ref="B43:D43"/>
  </mergeCells>
  <dataValidations count="4">
    <dataValidation sqref="B8:D8" showDropDown="0" showInputMessage="0" showErrorMessage="0" allowBlank="1" type="list" errorStyle="stop" operator="between">
      <formula1>"ano,ne"</formula1>
      <formula2>0</formula2>
    </dataValidation>
    <dataValidation sqref="B37:D37" showDropDown="0" showInputMessage="0" showErrorMessage="0" allowBlank="1" type="list" errorStyle="stop" operator="between">
      <formula1>"AI (výhradně),Lektor,Garant,Uživatel (sebehodnocení),Kombinace"</formula1>
      <formula2>0</formula2>
    </dataValidation>
    <dataValidation sqref="B13" showDropDown="0" showInputMessage="0" showErrorMessage="1" allowBlank="1" errorTitle="F1 mimo rozsah" error="F1 PREZENTACE trvá 5–10 minut." type="whole" operator="between">
      <formula1>5</formula1>
      <formula2>10</formula2>
    </dataValidation>
    <dataValidation sqref="B40" showDropDown="0" showInputMessage="0" showErrorMessage="0" allowBlank="1" type="list">
      <formula1>"nízká,střední,vysoká"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D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26" min="1" max="1"/>
    <col width="35" customWidth="1" style="26" min="2" max="2"/>
    <col width="5" customWidth="1" style="26" min="3" max="3"/>
    <col width="35" customWidth="1" style="26" min="4" max="4"/>
  </cols>
  <sheetData>
    <row r="1" ht="27.75" customHeight="1" s="27">
      <c r="A1" s="63" t="inlineStr">
        <is>
          <t>MODUL 5</t>
        </is>
      </c>
    </row>
    <row r="2" ht="42" customHeight="1" s="27">
      <c r="A2" s="38" t="inlineStr">
        <is>
          <t>💡 OBJECTIVES (ID) odkazují na list 3_OBJECTIVES. Neurovědní princip = kód NP-XX z listu CIS_Neuroveda. Formát F2/F3 = kód FMT-XX z listu CIS_Formaty. F1 PREZENTACE 5–10 min podle úrovně a náročnosti (CIS_Urovne). F4 APLIKACE nelze přeskočit.</t>
        </is>
      </c>
    </row>
    <row r="3"/>
    <row r="4" ht="37.5" customHeight="1" s="27">
      <c r="A4" s="30" t="inlineStr">
        <is>
          <t>Název modulu</t>
        </is>
      </c>
      <c r="B4" s="40" t="n"/>
      <c r="C4" s="41" t="n"/>
      <c r="D4" s="41" t="n"/>
    </row>
    <row r="5" ht="37.5" customHeight="1" s="27">
      <c r="A5" s="30" t="inlineStr">
        <is>
          <t>Délka modulu (min)</t>
        </is>
      </c>
      <c r="B5" s="40" t="n"/>
      <c r="C5" s="41" t="n"/>
      <c r="D5" s="41" t="n"/>
    </row>
    <row r="6" ht="37.5" customHeight="1" s="27">
      <c r="A6" s="30" t="inlineStr">
        <is>
          <t>IMPULS</t>
        </is>
      </c>
      <c r="B6" s="40" t="n"/>
      <c r="C6" s="41" t="n"/>
      <c r="D6" s="41" t="n"/>
    </row>
    <row r="7" ht="37.5" customHeight="1" s="27">
      <c r="A7" s="30" t="inlineStr">
        <is>
          <t>OBJECTIVES (ID)</t>
        </is>
      </c>
      <c r="B7" s="40" t="n"/>
      <c r="C7" s="41" t="n"/>
      <c r="D7" s="41" t="n"/>
    </row>
    <row r="8" ht="37.5" customHeight="1" s="27">
      <c r="A8" s="30" t="inlineStr">
        <is>
          <t>Skip povolen?</t>
        </is>
      </c>
      <c r="B8" s="40" t="n"/>
      <c r="C8" s="41" t="n"/>
      <c r="D8" s="41" t="n"/>
    </row>
    <row r="9" ht="37.5" customHeight="1" s="27">
      <c r="A9" s="30" t="inlineStr">
        <is>
          <t>Vazba na GOALS</t>
        </is>
      </c>
      <c r="B9" s="40" t="n"/>
      <c r="C9" s="41" t="n"/>
      <c r="D9" s="41" t="n"/>
    </row>
    <row r="10" ht="37.5" customHeight="1" s="27">
      <c r="A10" s="30" t="inlineStr">
        <is>
          <t>Větvení dle profilu</t>
        </is>
      </c>
      <c r="B10" s="40" t="n"/>
      <c r="C10" s="41" t="n"/>
      <c r="D10" s="41" t="n"/>
    </row>
    <row r="11"/>
    <row r="12" ht="19.5" customHeight="1" s="27">
      <c r="A12" s="39" t="inlineStr">
        <is>
          <t>F1  PREZENTACE  (5–10 min podle úrovně a náročnosti, začíná IMPULSEM)</t>
        </is>
      </c>
    </row>
    <row r="13" ht="37.5" customHeight="1" s="27">
      <c r="A13" s="30" t="inlineStr">
        <is>
          <t>Délka F1 (min)</t>
        </is>
      </c>
      <c r="B13" s="40" t="n"/>
      <c r="C13" s="41" t="n"/>
      <c r="D13" s="41" t="n"/>
    </row>
    <row r="14" ht="37.5" customHeight="1" s="27">
      <c r="A14" s="30" t="inlineStr">
        <is>
          <t>F1 — Obsah výkladu</t>
        </is>
      </c>
      <c r="B14" s="40" t="n"/>
      <c r="C14" s="41" t="n"/>
      <c r="D14" s="41" t="n"/>
    </row>
    <row r="15"/>
    <row r="16" ht="19.5" customHeight="1" s="27">
      <c r="A16" s="39" t="inlineStr">
        <is>
          <t>F2  PROCVIČENÍ</t>
        </is>
      </c>
    </row>
    <row r="17" ht="37.5" customHeight="1" s="27">
      <c r="A17" s="30" t="inlineStr">
        <is>
          <t>Délka F2 (min)</t>
        </is>
      </c>
      <c r="B17" s="40" t="n"/>
      <c r="C17" s="41" t="n"/>
      <c r="D17" s="41" t="n"/>
    </row>
    <row r="18" ht="37.5" customHeight="1" s="27">
      <c r="A18" s="30" t="inlineStr">
        <is>
          <t>F2 — Formát interakce</t>
        </is>
      </c>
      <c r="B18" s="40" t="n"/>
      <c r="C18" s="41" t="n"/>
      <c r="D18" s="41" t="n"/>
    </row>
    <row r="19" ht="37.5" customHeight="1" s="27">
      <c r="A19" s="30" t="inlineStr">
        <is>
          <t>F2 — Konkrétní znění / instrukce pro agenta</t>
        </is>
      </c>
      <c r="B19" s="40" t="n"/>
      <c r="C19" s="41" t="n"/>
      <c r="D19" s="41" t="n"/>
    </row>
    <row r="20"/>
    <row r="21" ht="19.5" customHeight="1" s="27">
      <c r="A21" s="39" t="inlineStr">
        <is>
          <t>F3  OVĚŘENÍ</t>
        </is>
      </c>
    </row>
    <row r="22" ht="37.5" customHeight="1" s="27">
      <c r="A22" s="30" t="inlineStr">
        <is>
          <t>Délka F3 (min)</t>
        </is>
      </c>
      <c r="B22" s="40" t="n"/>
      <c r="C22" s="41" t="n"/>
      <c r="D22" s="41" t="n"/>
    </row>
    <row r="23" ht="37.5" customHeight="1" s="27">
      <c r="A23" s="30" t="inlineStr">
        <is>
          <t>F3 — Formát interakce</t>
        </is>
      </c>
      <c r="B23" s="40" t="n"/>
      <c r="C23" s="41" t="n"/>
      <c r="D23" s="41" t="n"/>
    </row>
    <row r="24" ht="37.5" customHeight="1" s="27">
      <c r="A24" s="30" t="inlineStr">
        <is>
          <t>F3 — Konkrétní znění / instrukce pro agenta</t>
        </is>
      </c>
      <c r="B24" s="40" t="n"/>
      <c r="C24" s="41" t="n"/>
      <c r="D24" s="41" t="n"/>
    </row>
    <row r="25"/>
    <row r="26" ht="19.5" customHeight="1" s="27">
      <c r="A26" s="39" t="inlineStr">
        <is>
          <t>F4  APLIKACE  (nelze přeskočit)</t>
        </is>
      </c>
    </row>
    <row r="27" ht="37.5" customHeight="1" s="27">
      <c r="A27" s="30" t="inlineStr">
        <is>
          <t>Délka F4 (min)</t>
        </is>
      </c>
      <c r="B27" s="40" t="n"/>
      <c r="C27" s="41" t="n"/>
      <c r="D27" s="41" t="n"/>
    </row>
    <row r="28" ht="37.5" customHeight="1" s="27">
      <c r="A28" s="30" t="inlineStr">
        <is>
          <t>F4 — Co uživatel vytvoří</t>
        </is>
      </c>
      <c r="B28" s="40" t="n"/>
      <c r="C28" s="41" t="n"/>
      <c r="D28" s="41" t="n"/>
    </row>
    <row r="29"/>
    <row r="30" ht="19.5" customHeight="1" s="27">
      <c r="A30" s="39" t="inlineStr">
        <is>
          <t>Neurovědní principy v modulu</t>
        </is>
      </c>
    </row>
    <row r="31" ht="37.5" customHeight="1" s="27">
      <c r="A31" s="30" t="inlineStr">
        <is>
          <t>Kódy principů (z CIS_Neuroveda)</t>
        </is>
      </c>
      <c r="B31" s="40" t="n"/>
      <c r="C31" s="41" t="n"/>
      <c r="D31" s="41" t="n"/>
    </row>
    <row r="32" ht="37.5" customHeight="1" s="27">
      <c r="A32" s="30" t="inlineStr">
        <is>
          <t>Implementace principů (fáze + popis)</t>
        </is>
      </c>
      <c r="B32" s="40" t="n"/>
      <c r="C32" s="41" t="n"/>
      <c r="D32" s="41" t="n"/>
    </row>
    <row r="33"/>
    <row r="34" ht="19.5" customHeight="1" s="27">
      <c r="A34" s="39" t="inlineStr">
        <is>
          <t>Průběžné hodnocení modulu</t>
        </is>
      </c>
    </row>
    <row r="35" ht="37.5" customHeight="1" s="27">
      <c r="A35" s="30" t="inlineStr">
        <is>
          <t>Formát průběžného hodnocení</t>
        </is>
      </c>
      <c r="B35" s="40" t="n"/>
      <c r="C35" s="41" t="n"/>
      <c r="D35" s="41" t="n"/>
    </row>
    <row r="36" ht="37.5" customHeight="1" s="27">
      <c r="A36" s="30" t="inlineStr">
        <is>
          <t>Konkrétní znění / instrukce</t>
        </is>
      </c>
      <c r="B36" s="40" t="n"/>
      <c r="C36" s="41" t="n"/>
      <c r="D36" s="41" t="n"/>
    </row>
    <row r="37" ht="37.5" customHeight="1" s="27">
      <c r="A37" s="30" t="inlineStr">
        <is>
          <t>Hodnotitel</t>
        </is>
      </c>
      <c r="B37" s="40" t="n"/>
      <c r="C37" s="41" t="n"/>
      <c r="D37" s="41" t="n"/>
    </row>
    <row r="39">
      <c r="A39" s="43" t="inlineStr">
        <is>
          <t>PARAMETRY PRO GENERÁTOR A KONTROLA (v7)</t>
        </is>
      </c>
    </row>
    <row r="40" ht="30" customHeight="1" s="27">
      <c r="A40" s="45" t="inlineStr">
        <is>
          <t>Náročnost tématu</t>
        </is>
      </c>
      <c r="B40" s="46" t="n"/>
      <c r="C40" s="41" t="n"/>
      <c r="D40" s="41" t="n"/>
    </row>
    <row r="41" ht="30" customHeight="1" s="27">
      <c r="A41" s="45" t="inlineStr">
        <is>
          <t>Orientační rozsah F1 (auto)</t>
        </is>
      </c>
      <c r="B41" s="47">
        <f>IF(OR('1_Identifikace'!$B$16="",B40=""),"",IFERROR(INDEX(CIS_Urovne!$E$5:$E$10,MATCH('1_Identifikace'!$B$16&amp;"|"&amp;IF(B40="vysoká","vysoká","běžná"),CIS_Urovne!$H$5:$H$10,0))&amp;" min (≈ "&amp;INDEX(CIS_Urovne!$F$5:$F$10,MATCH('1_Identifikace'!$B$16&amp;"|"&amp;IF(B40="vysoká","vysoká","běžná"),CIS_Urovne!$H$5:$H$10,0))&amp;" slov)",""))</f>
        <v/>
      </c>
      <c r="C41" s="41" t="n"/>
      <c r="D41" s="41" t="n"/>
    </row>
    <row r="42" ht="30" customHeight="1" s="27">
      <c r="A42" s="45" t="inlineStr">
        <is>
          <t>Kontrola součtu fází (auto)</t>
        </is>
      </c>
      <c r="B42" s="47">
        <f>IF(OR(B5="",B13=""),"",IF(B13+B17+B22+B27=B5,"OK","SOUČET "&amp;(B13+B17+B22+B27)&amp;" ≠ "&amp;B5))</f>
        <v/>
      </c>
      <c r="C42" s="41" t="n"/>
      <c r="D42" s="41" t="n"/>
    </row>
    <row r="43" ht="60" customHeight="1" s="27">
      <c r="A43" s="45" t="inlineStr">
        <is>
          <t>Otevřené problémy pro metodika</t>
        </is>
      </c>
      <c r="B43" s="46" t="n"/>
      <c r="C43" s="41" t="n"/>
      <c r="D43" s="41" t="n"/>
    </row>
  </sheetData>
  <mergeCells count="35">
    <mergeCell ref="B42:D42"/>
    <mergeCell ref="B14:D14"/>
    <mergeCell ref="B23:D23"/>
    <mergeCell ref="B8:D8"/>
    <mergeCell ref="B17:D17"/>
    <mergeCell ref="B13:D13"/>
    <mergeCell ref="B10:D10"/>
    <mergeCell ref="B28:D28"/>
    <mergeCell ref="B19:D19"/>
    <mergeCell ref="B37:D37"/>
    <mergeCell ref="A34:D34"/>
    <mergeCell ref="A30:D30"/>
    <mergeCell ref="A39:D39"/>
    <mergeCell ref="B40:D40"/>
    <mergeCell ref="B9:D9"/>
    <mergeCell ref="B6:D6"/>
    <mergeCell ref="B24:D24"/>
    <mergeCell ref="A1:D1"/>
    <mergeCell ref="B5:D5"/>
    <mergeCell ref="B36:D36"/>
    <mergeCell ref="B41:D41"/>
    <mergeCell ref="B32:D32"/>
    <mergeCell ref="B4:D4"/>
    <mergeCell ref="B35:D35"/>
    <mergeCell ref="A16:D16"/>
    <mergeCell ref="B7:D7"/>
    <mergeCell ref="B31:D31"/>
    <mergeCell ref="A12:D12"/>
    <mergeCell ref="B22:D22"/>
    <mergeCell ref="A26:D26"/>
    <mergeCell ref="A21:D21"/>
    <mergeCell ref="B18:D18"/>
    <mergeCell ref="B27:D27"/>
    <mergeCell ref="A2:D2"/>
    <mergeCell ref="B43:D43"/>
  </mergeCells>
  <dataValidations count="4">
    <dataValidation sqref="B8:D8" showDropDown="0" showInputMessage="0" showErrorMessage="0" allowBlank="1" type="list" errorStyle="stop" operator="between">
      <formula1>"ano,ne"</formula1>
      <formula2>0</formula2>
    </dataValidation>
    <dataValidation sqref="B37:D37" showDropDown="0" showInputMessage="0" showErrorMessage="0" allowBlank="1" type="list" errorStyle="stop" operator="between">
      <formula1>"AI (výhradně),Lektor,Garant,Uživatel (sebehodnocení),Kombinace"</formula1>
      <formula2>0</formula2>
    </dataValidation>
    <dataValidation sqref="B13" showDropDown="0" showInputMessage="0" showErrorMessage="1" allowBlank="1" errorTitle="F1 mimo rozsah" error="F1 PREZENTACE trvá 5–10 minut." type="whole" operator="between">
      <formula1>5</formula1>
      <formula2>10</formula2>
    </dataValidation>
    <dataValidation sqref="B40" showDropDown="0" showInputMessage="0" showErrorMessage="0" allowBlank="1" type="list">
      <formula1>"nízká,střední,vysoká"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26" min="1" max="1"/>
    <col width="35" customWidth="1" style="26" min="2" max="2"/>
    <col width="5" customWidth="1" style="26" min="3" max="3"/>
    <col width="35" customWidth="1" style="26" min="4" max="4"/>
  </cols>
  <sheetData>
    <row r="1" ht="27.75" customHeight="1" s="27">
      <c r="A1" s="63" t="inlineStr">
        <is>
          <t>CAPSTONE / Závěrečný modul</t>
        </is>
      </c>
    </row>
    <row r="2" ht="39.75" customHeight="1" s="27">
      <c r="A2" s="38" t="inlineStr">
        <is>
          <t>💡 Volba autora: (A) Vlastní F1–F4 blok (zjednodušený), nebo (B) Pouze finální ověření přes rubriku. Capstone propojuje výstupy F4 APLIKACE z modulů 1–5 do finálního artefaktu.</t>
        </is>
      </c>
    </row>
    <row r="3"/>
    <row r="4" ht="37.5" customHeight="1" s="27">
      <c r="A4" s="30" t="inlineStr">
        <is>
          <t>Varianta capstone</t>
        </is>
      </c>
      <c r="B4" s="40" t="n"/>
      <c r="C4" s="41" t="n"/>
      <c r="D4" s="41" t="n"/>
    </row>
    <row r="5" ht="37.5" customHeight="1" s="27">
      <c r="A5" s="30" t="inlineStr">
        <is>
          <t>Název závěrečného modulu</t>
        </is>
      </c>
      <c r="B5" s="40" t="n"/>
      <c r="C5" s="41" t="n"/>
      <c r="D5" s="41" t="n"/>
    </row>
    <row r="6" ht="37.5" customHeight="1" s="27">
      <c r="A6" s="30" t="inlineStr">
        <is>
          <t>Délka (min)</t>
        </is>
      </c>
      <c r="B6" s="40" t="n"/>
      <c r="C6" s="41" t="n"/>
      <c r="D6" s="41" t="n"/>
    </row>
    <row r="7" ht="37.5" customHeight="1" s="27">
      <c r="A7" s="30" t="inlineStr">
        <is>
          <t>Obsah</t>
        </is>
      </c>
      <c r="B7" s="40" t="n"/>
      <c r="C7" s="41" t="n"/>
      <c r="D7" s="41" t="n"/>
    </row>
    <row r="8" ht="37.5" customHeight="1" s="27">
      <c r="A8" s="30" t="inlineStr">
        <is>
          <t>Vazba na artefakt</t>
        </is>
      </c>
      <c r="B8" s="40" t="n"/>
      <c r="C8" s="41" t="n"/>
      <c r="D8" s="41" t="n"/>
    </row>
    <row r="9"/>
    <row r="10" ht="19.5" customHeight="1" s="27">
      <c r="A10" s="39" t="inlineStr">
        <is>
          <t>Varianta A — zjednodušený F1–F4 blok (vyplňte pouze pokud Varianta = A)</t>
        </is>
      </c>
    </row>
    <row r="11" ht="37.5" customHeight="1" s="27">
      <c r="A11" s="30" t="inlineStr">
        <is>
          <t>F1 — Obsah výkladu</t>
        </is>
      </c>
      <c r="B11" s="40" t="n"/>
      <c r="C11" s="41" t="n"/>
      <c r="D11" s="41" t="n"/>
    </row>
    <row r="12" ht="37.5" customHeight="1" s="27">
      <c r="A12" s="30" t="inlineStr">
        <is>
          <t>F2 — Aktivita</t>
        </is>
      </c>
      <c r="B12" s="40" t="n"/>
      <c r="C12" s="41" t="n"/>
      <c r="D12" s="41" t="n"/>
    </row>
    <row r="13" ht="37.5" customHeight="1" s="27">
      <c r="A13" s="30" t="inlineStr">
        <is>
          <t>F3 — Ověření</t>
        </is>
      </c>
      <c r="B13" s="40" t="n"/>
      <c r="C13" s="41" t="n"/>
      <c r="D13" s="41" t="n"/>
    </row>
    <row r="14" ht="37.5" customHeight="1" s="27">
      <c r="A14" s="30" t="inlineStr">
        <is>
          <t>F4 — Finální artefakt</t>
        </is>
      </c>
      <c r="B14" s="40" t="n"/>
      <c r="C14" s="41" t="n"/>
      <c r="D14" s="41" t="n"/>
    </row>
  </sheetData>
  <mergeCells count="12">
    <mergeCell ref="A1:D1"/>
    <mergeCell ref="B11:D11"/>
    <mergeCell ref="B5:D5"/>
    <mergeCell ref="B14:D14"/>
    <mergeCell ref="B8:D8"/>
    <mergeCell ref="B4:D4"/>
    <mergeCell ref="B13:D13"/>
    <mergeCell ref="A2:D2"/>
    <mergeCell ref="B12:D12"/>
    <mergeCell ref="A10:D10"/>
    <mergeCell ref="B6:D6"/>
    <mergeCell ref="B7:D7"/>
  </mergeCells>
  <dataValidations count="1">
    <dataValidation sqref="B4:D4" showDropDown="0" showInputMessage="0" showErrorMessage="0" allowBlank="1" type="list" errorStyle="stop" operator="between">
      <formula1>"A,B"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28" customWidth="1" style="26" min="2" max="2"/>
    <col width="30" customWidth="1" style="26" min="3" max="3"/>
    <col width="50" customWidth="1" style="26" min="4" max="5"/>
  </cols>
  <sheetData>
    <row r="1" ht="27.75" customHeight="1" s="27">
      <c r="A1" s="64" t="inlineStr">
        <is>
          <t>ČÍSELNÍK  |  Neurovědní principy učení (20)</t>
        </is>
      </c>
    </row>
    <row r="2" ht="31.5" customHeight="1" s="27">
      <c r="A2" s="38" t="inlineStr">
        <is>
          <t>📘 Referenční číselník — read-only pro agenta i metodika. Odkazujte na principy kódem (NP-XX) v listech modulů. NEMĚŇTE názvy ani kódy.</t>
        </is>
      </c>
    </row>
    <row r="3"/>
    <row r="4" ht="15" customHeight="1" s="27">
      <c r="A4" s="65" t="inlineStr">
        <is>
          <t>Kód</t>
        </is>
      </c>
      <c r="B4" s="65" t="inlineStr">
        <is>
          <t>Princip (CZ)</t>
        </is>
      </c>
      <c r="C4" s="65" t="inlineStr">
        <is>
          <t>Princip (EN)</t>
        </is>
      </c>
      <c r="D4" s="65" t="inlineStr">
        <is>
          <t>Stručný popis</t>
        </is>
      </c>
      <c r="E4" s="65" t="inlineStr">
        <is>
          <t>Příklad využití při učení s AI</t>
        </is>
      </c>
    </row>
    <row r="5" ht="60" customHeight="1" s="27">
      <c r="A5" s="50" t="inlineStr">
        <is>
          <t>NP-01</t>
        </is>
      </c>
      <c r="B5" s="66" t="inlineStr">
        <is>
          <t>Neuroplasticita</t>
        </is>
      </c>
      <c r="C5" s="66" t="inlineStr">
        <is>
          <t>Neuroplasticity</t>
        </is>
      </c>
      <c r="D5" s="66" t="inlineStr">
        <is>
          <t>Schopnost mozku přetvářet synaptické spoje na základě zkušenosti; opakované učení doslova mění strukturu nervových sítí.</t>
        </is>
      </c>
      <c r="E5" s="66" t="inlineStr">
        <is>
          <t>Pravidelné dialogy s AI nad jedním tématem (např. denní debata o ML konceptech) postupně utvářejí stabilní expertní okruhy.</t>
        </is>
      </c>
    </row>
    <row r="6" ht="60" customHeight="1" s="27">
      <c r="A6" s="50" t="inlineStr">
        <is>
          <t>NP-02</t>
        </is>
      </c>
      <c r="B6" s="66" t="inlineStr">
        <is>
          <t>Distribuované opakování</t>
        </is>
      </c>
      <c r="C6" s="66" t="inlineStr">
        <is>
          <t>Spaced Repetition</t>
        </is>
      </c>
      <c r="D6" s="66" t="inlineStr">
        <is>
          <t>Učení rozložené v čase vede k trvalejšímu zapamatování než nárazové studium díky opakovanému přepisování paměťové stopy.</t>
        </is>
      </c>
      <c r="E6" s="66" t="inlineStr">
        <is>
          <t>AI plánuje Anki-styl připomínky (1 den, 3 dny, 7 dní, 21 dní) na klíčové pojmy z předchozí konverzace.</t>
        </is>
      </c>
    </row>
    <row r="7" ht="60" customHeight="1" s="27">
      <c r="A7" s="50" t="inlineStr">
        <is>
          <t>NP-03</t>
        </is>
      </c>
      <c r="B7" s="66" t="inlineStr">
        <is>
          <t>Aktivní vybavování</t>
        </is>
      </c>
      <c r="C7" s="66" t="inlineStr">
        <is>
          <t>Active Recall / Retrieval Practice</t>
        </is>
      </c>
      <c r="D7" s="66" t="inlineStr">
        <is>
          <t>Vědomé vybavování informace z paměti posiluje paměťovou stopu výrazně více než pasivní opětovné čtení.</t>
        </is>
      </c>
      <c r="E7" s="66" t="inlineStr">
        <is>
          <t>AI nevykládá rovnou odpověď, ale vede uživatele sokratovskými otázkami: „Co si myslíš, že se stane, když…?</t>
        </is>
      </c>
    </row>
    <row r="8" ht="60" customHeight="1" s="27">
      <c r="A8" s="50" t="inlineStr">
        <is>
          <t>NP-04</t>
        </is>
      </c>
      <c r="B8" s="66" t="inlineStr">
        <is>
          <t>Žádoucí obtíže</t>
        </is>
      </c>
      <c r="C8" s="66" t="inlineStr">
        <is>
          <t>Desirable Difficulties</t>
        </is>
      </c>
      <c r="D8" s="66" t="inlineStr">
        <is>
          <t>Mírná obtížnost a kognitivní zápas při učení (Bjork) prohlubují zpracování a vedou k lepšímu transferu znalostí.</t>
        </is>
      </c>
      <c r="E8" s="66" t="inlineStr">
        <is>
          <t>AI postupně zvyšuje náročnost úloh, místo aby okamžitě poskytla zjednodušené řešení.</t>
        </is>
      </c>
    </row>
    <row r="9" ht="60" customHeight="1" s="27">
      <c r="A9" s="50" t="inlineStr">
        <is>
          <t>NP-05</t>
        </is>
      </c>
      <c r="B9" s="66" t="inlineStr">
        <is>
          <t>Prokládání</t>
        </is>
      </c>
      <c r="C9" s="66" t="inlineStr">
        <is>
          <t>Interleaving</t>
        </is>
      </c>
      <c r="D9" s="66" t="inlineStr">
        <is>
          <t>Střídání různých typů úloh v rámci jednoho cvičení podporuje rozlišování konceptů a generalizaci.</t>
        </is>
      </c>
      <c r="E9" s="66" t="inlineStr">
        <is>
          <t>AI při procvičování matematiky míchá derivace, integrály a limity místo blokového řešení jednoho typu.</t>
        </is>
      </c>
    </row>
    <row r="10" ht="60" customHeight="1" s="27">
      <c r="A10" s="50" t="inlineStr">
        <is>
          <t>NP-06</t>
        </is>
      </c>
      <c r="B10" s="66" t="inlineStr">
        <is>
          <t>Duální kódování</t>
        </is>
      </c>
      <c r="C10" s="66" t="inlineStr">
        <is>
          <t>Dual Coding</t>
        </is>
      </c>
      <c r="D10" s="66" t="inlineStr">
        <is>
          <t>Kombinace verbální a vizuální reprezentace (Paivio) vytváří dvě paměťové stopy a zlepšuje zapamatování.</t>
        </is>
      </c>
      <c r="E10" s="66" t="inlineStr">
        <is>
          <t>AI doplní textové vysvětlení diagramem, schématem nebo ASCII vizualizací procesu.</t>
        </is>
      </c>
    </row>
    <row r="11" ht="60" customHeight="1" s="27">
      <c r="A11" s="50" t="inlineStr">
        <is>
          <t>NP-07</t>
        </is>
      </c>
      <c r="B11" s="66" t="inlineStr">
        <is>
          <t>Kognitivní zátěž</t>
        </is>
      </c>
      <c r="C11" s="66" t="inlineStr">
        <is>
          <t>Cognitive Load Theory</t>
        </is>
      </c>
      <c r="D11" s="66" t="inlineStr">
        <is>
          <t>Pracovní paměť má kapacitu cca 4±1 prvků; přetížení blokuje učení. Je třeba rozdělit obsah na zvládnutelné kroky.</t>
        </is>
      </c>
      <c r="E11" s="66" t="inlineStr">
        <is>
          <t>AI rozloží komplexní úlohu (např. návrh API) do dílčích kroků a neřeší vše naráz.</t>
        </is>
      </c>
    </row>
    <row r="12" ht="60" customHeight="1" s="27">
      <c r="A12" s="50" t="inlineStr">
        <is>
          <t>NP-08</t>
        </is>
      </c>
      <c r="B12" s="66" t="inlineStr">
        <is>
          <t>Elaborativní kódování</t>
        </is>
      </c>
      <c r="C12" s="66" t="inlineStr">
        <is>
          <t>Elaborative Encoding</t>
        </is>
      </c>
      <c r="D12" s="66" t="inlineStr">
        <is>
          <t>Propojení nové informace s již existujícími znalostmi tvoří hustší síť asociací a usnadňuje budoucí vybavení.</t>
        </is>
      </c>
      <c r="E12" s="66" t="inlineStr">
        <is>
          <t>AI se ptá: „K čemu z toho, co už znáš, by se to dalo přirovnat?“ a buduje analogie.</t>
        </is>
      </c>
    </row>
    <row r="13" ht="60" customHeight="1" s="27">
      <c r="A13" s="50" t="inlineStr">
        <is>
          <t>NP-09</t>
        </is>
      </c>
      <c r="B13" s="66" t="inlineStr">
        <is>
          <t>Efekt generování</t>
        </is>
      </c>
      <c r="C13" s="66" t="inlineStr">
        <is>
          <t>Generation Effect</t>
        </is>
      </c>
      <c r="D13" s="66" t="inlineStr">
        <is>
          <t>Informace, kterou si člověk sám vytvoří či odvodí, se pamatuje lépe než pasivně přijatá.</t>
        </is>
      </c>
      <c r="E13" s="66" t="inlineStr">
        <is>
          <t>AI vyzve uživatele k prvnímu pokusu o řešení, teprve pak komentuje a opraví.</t>
        </is>
      </c>
    </row>
    <row r="14" ht="60" customHeight="1" s="27">
      <c r="A14" s="50" t="inlineStr">
        <is>
          <t>NP-10</t>
        </is>
      </c>
      <c r="B14" s="66" t="inlineStr">
        <is>
          <t>Testovací efekt</t>
        </is>
      </c>
      <c r="C14" s="66" t="inlineStr">
        <is>
          <t>Testing Effect</t>
        </is>
      </c>
      <c r="D14" s="66" t="inlineStr">
        <is>
          <t>Samotné testování (nikoli jen studium) je silným nástrojem konsolidace dlouhodobé paměti.</t>
        </is>
      </c>
      <c r="E14" s="66" t="inlineStr">
        <is>
          <t>AI po každé lekci generuje krátký kvíz nebo praktickou úlohu k ověření porozumění.</t>
        </is>
      </c>
    </row>
    <row r="15" ht="60" customHeight="1" s="27">
      <c r="A15" s="50" t="inlineStr">
        <is>
          <t>NP-11</t>
        </is>
      </c>
      <c r="B15" s="66" t="inlineStr">
        <is>
          <t>Predikční chyba</t>
        </is>
      </c>
      <c r="C15" s="66" t="inlineStr">
        <is>
          <t>Reward Prediction Error</t>
        </is>
      </c>
      <c r="D15" s="66" t="inlineStr">
        <is>
          <t>Dopaminový systém reaguje na rozdíl mezi očekáváním a realitou; překvapení (pozitivní i negativní) řídí učení (Schultz).</t>
        </is>
      </c>
      <c r="E15" s="66" t="inlineStr">
        <is>
          <t>AI nechá uživatele hádat výsledek experimentu před jeho odhalením — překvapení posílí zapamatování.</t>
        </is>
      </c>
    </row>
    <row r="16" ht="60" customHeight="1" s="27">
      <c r="A16" s="50" t="inlineStr">
        <is>
          <t>NP-12</t>
        </is>
      </c>
      <c r="B16" s="66" t="inlineStr">
        <is>
          <t>Konsolidace ve spánku</t>
        </is>
      </c>
      <c r="C16" s="66" t="inlineStr">
        <is>
          <t>Sleep-Dependent Consolidation</t>
        </is>
      </c>
      <c r="D16" s="66" t="inlineStr">
        <is>
          <t>Během NREM a REM spánku se přepisují paměťové stopy z hipokampu do neokortexu; spánek je nedílnou součástí učení.</t>
        </is>
      </c>
      <c r="E16" s="66" t="inlineStr">
        <is>
          <t>AI doporučí naučit se klíčové pojmy večer a otestovat je ráno; plánuje opakování přes noční pauzu.</t>
        </is>
      </c>
    </row>
    <row r="17" ht="60" customHeight="1" s="27">
      <c r="A17" s="50" t="inlineStr">
        <is>
          <t>NP-13</t>
        </is>
      </c>
      <c r="B17" s="66" t="inlineStr">
        <is>
          <t>Pozornost a pracovní paměť</t>
        </is>
      </c>
      <c r="C17" s="66" t="inlineStr">
        <is>
          <t>Attention &amp; Working Memory</t>
        </is>
      </c>
      <c r="D17" s="66" t="inlineStr">
        <is>
          <t>Bez selektivní pozornosti nedochází ke kódování. Pracovní paměť (prefrontální kůra) je úzkým hrdlem učení.</t>
        </is>
      </c>
      <c r="E17" s="66" t="inlineStr">
        <is>
          <t>AI navrhne 25minutové zaměřené bloky (Pomodoro) bez paralelního multitaskingu.</t>
        </is>
      </c>
    </row>
    <row r="18" ht="60" customHeight="1" s="27">
      <c r="A18" s="50" t="inlineStr">
        <is>
          <t>NP-14</t>
        </is>
      </c>
      <c r="B18" s="66" t="inlineStr">
        <is>
          <t>Slučování do bloků (chunking)</t>
        </is>
      </c>
      <c r="C18" s="66" t="inlineStr">
        <is>
          <t>Chunking</t>
        </is>
      </c>
      <c r="D18" s="66" t="inlineStr">
        <is>
          <t>Sdružování dílčích informací do smysluplných bloků zvyšuje efektivní kapacitu pracovní paměti (Miller).</t>
        </is>
      </c>
      <c r="E18" s="66" t="inlineStr">
        <is>
          <t>AI pomůže vytvořit mnemotechnické zkratky či vzorce, kterými se nahradí dlouhé seznamy detailů.</t>
        </is>
      </c>
    </row>
    <row r="19" ht="60" customHeight="1" s="27">
      <c r="A19" s="50" t="inlineStr">
        <is>
          <t>NP-15</t>
        </is>
      </c>
      <c r="B19" s="66" t="inlineStr">
        <is>
          <t>Metakognice</t>
        </is>
      </c>
      <c r="C19" s="66" t="inlineStr">
        <is>
          <t>Metacognition</t>
        </is>
      </c>
      <c r="D19" s="66" t="inlineStr">
        <is>
          <t>Schopnost přemýšlet o vlastním myšlení a sledovat porozumění; zásadní pro samostatné a hluboké učení.</t>
        </is>
      </c>
      <c r="E19" s="66" t="inlineStr">
        <is>
          <t>AI se průběžně ptá: „Na škále 1–5, jak jistě tomu rozumíš? Co je nejasné?“</t>
        </is>
      </c>
    </row>
    <row r="20" ht="60" customHeight="1" s="27">
      <c r="A20" s="50" t="inlineStr">
        <is>
          <t>NP-16</t>
        </is>
      </c>
      <c r="B20" s="66" t="inlineStr">
        <is>
          <t>Zrcadlové neurony / observační učení</t>
        </is>
      </c>
      <c r="C20" s="66" t="inlineStr">
        <is>
          <t>Mirror Neurons / Observational Learning</t>
        </is>
      </c>
      <c r="D20" s="66" t="inlineStr">
        <is>
          <t>Pozorování postupu druhého aktivuje stejné okruhy jako jeho vlastní provádění; učení nápodobou.</t>
        </is>
      </c>
      <c r="E20" s="66" t="inlineStr">
        <is>
          <t>AI demonstruje řešení formou „myslím nahlas“ (chain-of-thought), který může uživatel napodobit.</t>
        </is>
      </c>
    </row>
    <row r="21" ht="60" customHeight="1" s="27">
      <c r="A21" s="50" t="inlineStr">
        <is>
          <t>NP-17</t>
        </is>
      </c>
      <c r="B21" s="66" t="inlineStr">
        <is>
          <t>Stav plynutí (flow)</t>
        </is>
      </c>
      <c r="C21" s="66" t="inlineStr">
        <is>
          <t>Flow State</t>
        </is>
      </c>
      <c r="D21" s="66" t="inlineStr">
        <is>
          <t>Optimální poměr mezi výzvou a dovedností (Csíkszentmihályi) maximalizuje zapojení a učení.</t>
        </is>
      </c>
      <c r="E21" s="66" t="inlineStr">
        <is>
          <t>AI dynamicky kalibruje obtížnost úloh podle úspěšnosti uživatele, aby udržela engagement.</t>
        </is>
      </c>
    </row>
    <row r="22" ht="60" customHeight="1" s="27">
      <c r="A22" s="50" t="inlineStr">
        <is>
          <t>NP-18</t>
        </is>
      </c>
      <c r="B22" s="66" t="inlineStr">
        <is>
          <t>Okamžitá zpětná vazba</t>
        </is>
      </c>
      <c r="C22" s="66" t="inlineStr">
        <is>
          <t>Immediate Feedback Loops</t>
        </is>
      </c>
      <c r="D22" s="66" t="inlineStr">
        <is>
          <t>Rychlá a konkrétní zpětná vazba umožňuje opravit chybu dřív, než se zafixuje, a využívá dopaminové učení.</t>
        </is>
      </c>
      <c r="E22" s="66" t="inlineStr">
        <is>
          <t>AI hned po odpovědi vysvětlí, proč je správná/chybná, a navrhne konkrétní opravu.</t>
        </is>
      </c>
    </row>
    <row r="23" ht="60" customHeight="1" s="27">
      <c r="A23" s="50" t="inlineStr">
        <is>
          <t>NP-19</t>
        </is>
      </c>
      <c r="B23" s="66" t="inlineStr">
        <is>
          <t>Vtělené poznávání</t>
        </is>
      </c>
      <c r="C23" s="66" t="inlineStr">
        <is>
          <t>Embodied Cognition</t>
        </is>
      </c>
      <c r="D23" s="66" t="inlineStr">
        <is>
          <t>Tělesné zapojení (gesta, řeč nahlas, kreslení) posiluje kognitivní zpracování a zapamatování.</t>
        </is>
      </c>
      <c r="E23" s="66" t="inlineStr">
        <is>
          <t>AI vybízí uživatele, aby vysvětlil problém vlastními slovy nahlas nebo si jej načrtl na papír.</t>
        </is>
      </c>
    </row>
    <row r="24" ht="60" customHeight="1" s="27">
      <c r="A24" s="50" t="inlineStr">
        <is>
          <t>NP-20</t>
        </is>
      </c>
      <c r="B24" s="66" t="inlineStr">
        <is>
          <t>Schémata</t>
        </is>
      </c>
      <c r="C24" s="66" t="inlineStr">
        <is>
          <t>Schema Theory</t>
        </is>
      </c>
      <c r="D24" s="66" t="inlineStr">
        <is>
          <t>Znalosti jsou v paměti organizovány do schémat; nové informace se snáze ukládají, lze-li je připojit k existujícímu schématu.</t>
        </is>
      </c>
      <c r="E24" s="66" t="inlineStr">
        <is>
          <t>AI pomáhá tvořit pojmové mapy a hierarchie, do nichž se postupně doplňují další detaily.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18" customWidth="1" style="26" min="2" max="2"/>
    <col width="28" customWidth="1" style="26" min="3" max="3"/>
    <col width="55" customWidth="1" style="26" min="4" max="4"/>
    <col width="25" customWidth="1" style="26" min="5" max="5"/>
    <col width="14" customWidth="1" style="26" min="6" max="6"/>
  </cols>
  <sheetData>
    <row r="1" ht="27.75" customHeight="1" s="27">
      <c r="A1" s="64" t="inlineStr">
        <is>
          <t>ČÍSELNÍK  |  Formáty interakce F2/F3 a finální ověření (13)</t>
        </is>
      </c>
    </row>
    <row r="2" ht="31.5" customHeight="1" s="27">
      <c r="A2" s="38" t="inlineStr">
        <is>
          <t>📘 Referenční číselník — read-only. Odkazujte na formáty kódem (FMT-XX) v listech modulů. Rubrika a Artefakt jsou určeny POUZE pro finální ověření.</t>
        </is>
      </c>
    </row>
    <row r="3"/>
    <row r="4" ht="26.85" customHeight="1" s="27">
      <c r="A4" s="65" t="inlineStr">
        <is>
          <t>Kód</t>
        </is>
      </c>
      <c r="B4" s="65" t="inlineStr">
        <is>
          <t>Kategorie</t>
        </is>
      </c>
      <c r="C4" s="65" t="inlineStr">
        <is>
          <t>Název formátu</t>
        </is>
      </c>
      <c r="D4" s="65" t="inlineStr">
        <is>
          <t>Popis</t>
        </is>
      </c>
      <c r="E4" s="65" t="inlineStr">
        <is>
          <t>Role AI</t>
        </is>
      </c>
      <c r="F4" s="65" t="inlineStr">
        <is>
          <t>Náročnost IT</t>
        </is>
      </c>
    </row>
    <row r="5" ht="48" customHeight="1" s="27">
      <c r="A5" s="50" t="inlineStr">
        <is>
          <t>FMT-MCQ</t>
        </is>
      </c>
      <c r="B5" s="67" t="inlineStr">
        <is>
          <t>Uzavřený</t>
        </is>
      </c>
      <c r="C5" s="68" t="inlineStr">
        <is>
          <t>Multiple choice</t>
        </is>
      </c>
      <c r="D5" s="66" t="inlineStr">
        <is>
          <t>Výběr z možností; testuje faktografii a porozumění konceptům.</t>
        </is>
      </c>
      <c r="E5" s="67" t="inlineStr">
        <is>
          <t>Generátor + hodnotitel</t>
        </is>
      </c>
      <c r="F5" s="69" t="inlineStr">
        <is>
          <t>Nízká</t>
        </is>
      </c>
    </row>
    <row r="6" ht="48" customHeight="1" s="27">
      <c r="A6" s="50" t="inlineStr">
        <is>
          <t>FMT-TF</t>
        </is>
      </c>
      <c r="B6" s="67" t="inlineStr">
        <is>
          <t>Uzavřený</t>
        </is>
      </c>
      <c r="C6" s="68" t="inlineStr">
        <is>
          <t>True / false</t>
        </is>
      </c>
      <c r="D6" s="66" t="inlineStr">
        <is>
          <t>Pravda / nepravda; rychlé ověření klíčových tvrzení.</t>
        </is>
      </c>
      <c r="E6" s="67" t="inlineStr">
        <is>
          <t>Generátor + hodnotitel</t>
        </is>
      </c>
      <c r="F6" s="69" t="inlineStr">
        <is>
          <t>Nízká</t>
        </is>
      </c>
    </row>
    <row r="7" ht="48" customHeight="1" s="27">
      <c r="A7" s="50" t="inlineStr">
        <is>
          <t>FMT-MTC</t>
        </is>
      </c>
      <c r="B7" s="67" t="inlineStr">
        <is>
          <t>Uzavřený</t>
        </is>
      </c>
      <c r="C7" s="68" t="inlineStr">
        <is>
          <t>Matching</t>
        </is>
      </c>
      <c r="D7" s="66" t="inlineStr">
        <is>
          <t>Párování pojmů s definicemi nebo příklady.</t>
        </is>
      </c>
      <c r="E7" s="67" t="inlineStr">
        <is>
          <t>Generátor + hodnotitel</t>
        </is>
      </c>
      <c r="F7" s="69" t="inlineStr">
        <is>
          <t>Nízká</t>
        </is>
      </c>
    </row>
    <row r="8" ht="48" customHeight="1" s="27">
      <c r="A8" s="50" t="inlineStr">
        <is>
          <t>FMT-SA</t>
        </is>
      </c>
      <c r="B8" s="67" t="inlineStr">
        <is>
          <t>Uzavřený</t>
        </is>
      </c>
      <c r="C8" s="68" t="inlineStr">
        <is>
          <t>Short answer</t>
        </is>
      </c>
      <c r="D8" s="66" t="inlineStr">
        <is>
          <t>Krátká otevřená odpověď; testuje porozumění vlastními slovy.</t>
        </is>
      </c>
      <c r="E8" s="67" t="inlineStr">
        <is>
          <t>Hodnotitel odpovědi</t>
        </is>
      </c>
      <c r="F8" s="69" t="inlineStr">
        <is>
          <t>Nízká</t>
        </is>
      </c>
    </row>
    <row r="9" ht="48" customHeight="1" s="27">
      <c r="A9" s="50" t="inlineStr">
        <is>
          <t>FMT-SOK</t>
        </is>
      </c>
      <c r="B9" s="67" t="inlineStr">
        <is>
          <t>Dialogický</t>
        </is>
      </c>
      <c r="C9" s="68" t="inlineStr">
        <is>
          <t>Sokratovský dialog s AI</t>
        </is>
      </c>
      <c r="D9" s="66" t="inlineStr">
        <is>
          <t>AI vede uživatele otázkami k vlastnímu závěru; nevyřkne odpověď přímo.</t>
        </is>
      </c>
      <c r="E9" s="67" t="inlineStr">
        <is>
          <t>Partner v dialogu</t>
        </is>
      </c>
      <c r="F9" s="69" t="inlineStr">
        <is>
          <t>Střední</t>
        </is>
      </c>
    </row>
    <row r="10" ht="48" customHeight="1" s="27">
      <c r="A10" s="50" t="inlineStr">
        <is>
          <t>FMT-OTA</t>
        </is>
      </c>
      <c r="B10" s="67" t="inlineStr">
        <is>
          <t>Dialogický</t>
        </is>
      </c>
      <c r="C10" s="68" t="inlineStr">
        <is>
          <t>Tvorba otázek k tématu</t>
        </is>
      </c>
      <c r="D10" s="66" t="inlineStr">
        <is>
          <t>Uživatel formuluje 3 otázky k tématu; AI posoudí přesnost a hloubku.</t>
        </is>
      </c>
      <c r="E10" s="67" t="inlineStr">
        <is>
          <t>Posuzovatel formulace</t>
        </is>
      </c>
      <c r="F10" s="69" t="inlineStr">
        <is>
          <t>Nízká</t>
        </is>
      </c>
    </row>
    <row r="11" ht="48" customHeight="1" s="27">
      <c r="A11" s="50" t="inlineStr">
        <is>
          <t>FMT-PRO</t>
        </is>
      </c>
      <c r="B11" s="67" t="inlineStr">
        <is>
          <t>Dialogický</t>
        </is>
      </c>
      <c r="C11" s="68" t="inlineStr">
        <is>
          <t>Protiargument</t>
        </is>
      </c>
      <c r="D11" s="66" t="inlineStr">
        <is>
          <t>Uživatel vytvoří protiargument k tvrzení; AI reaguje a rozvíjí diskusi.</t>
        </is>
      </c>
      <c r="E11" s="67" t="inlineStr">
        <is>
          <t>Diskutér</t>
        </is>
      </c>
      <c r="F11" s="69" t="inlineStr">
        <is>
          <t>Střední</t>
        </is>
      </c>
    </row>
    <row r="12" ht="48" customHeight="1" s="27">
      <c r="A12" s="50" t="inlineStr">
        <is>
          <t>FMT-REF</t>
        </is>
      </c>
      <c r="B12" s="67" t="inlineStr">
        <is>
          <t>Dialogický</t>
        </is>
      </c>
      <c r="C12" s="68" t="inlineStr">
        <is>
          <t>Reflexe přinesené práce</t>
        </is>
      </c>
      <c r="D12" s="66" t="inlineStr">
        <is>
          <t>Uživatel přinese vlastní výstup; AI klade reflektivní otázky. Pouze F2/F3 nebo průběžné — ne finální ověření.</t>
        </is>
      </c>
      <c r="E12" s="67" t="inlineStr">
        <is>
          <t>Diskutér nad prací</t>
        </is>
      </c>
      <c r="F12" s="69" t="inlineStr">
        <is>
          <t>Nízká</t>
        </is>
      </c>
    </row>
    <row r="13" ht="48" customHeight="1" s="27">
      <c r="A13" s="50" t="inlineStr">
        <is>
          <t>FMT-VLA</t>
        </is>
      </c>
      <c r="B13" s="67" t="inlineStr">
        <is>
          <t>Dialogický</t>
        </is>
      </c>
      <c r="C13" s="68" t="inlineStr">
        <is>
          <t>Vlastní formulace před AI verzí</t>
        </is>
      </c>
      <c r="D13" s="66" t="inlineStr">
        <is>
          <t>Uživatel nejprve vytvoří vlastní verzi, pak vidí AI/vzor a porovná.</t>
        </is>
      </c>
      <c r="E13" s="67" t="inlineStr">
        <is>
          <t>Konzultant, ne arbitr</t>
        </is>
      </c>
      <c r="F13" s="69" t="inlineStr">
        <is>
          <t>Nízká</t>
        </is>
      </c>
    </row>
    <row r="14" ht="48" customHeight="1" s="27">
      <c r="A14" s="50" t="inlineStr">
        <is>
          <t>FMT-MIK</t>
        </is>
      </c>
      <c r="B14" s="67" t="inlineStr">
        <is>
          <t>Komplexní</t>
        </is>
      </c>
      <c r="C14" s="68" t="inlineStr">
        <is>
          <t>Mikroartefakt</t>
        </is>
      </c>
      <c r="D14" s="66" t="inlineStr">
        <is>
          <t>Krátký tvůrčí výstup (věta, definice, mikroscénář). AI navrhne zlepšení, uživatel rozhodne.</t>
        </is>
      </c>
      <c r="E14" s="67" t="inlineStr">
        <is>
          <t>Konzultant, ne arbitr</t>
        </is>
      </c>
      <c r="F14" s="69" t="inlineStr">
        <is>
          <t>Střední</t>
        </is>
      </c>
    </row>
    <row r="15" ht="48" customHeight="1" s="27">
      <c r="A15" s="50" t="inlineStr">
        <is>
          <t>FMT-RUB</t>
        </is>
      </c>
      <c r="B15" s="67" t="inlineStr">
        <is>
          <t>Komplexní (finální)</t>
        </is>
      </c>
      <c r="C15" s="68" t="inlineStr">
        <is>
          <t>Rubrika</t>
        </is>
      </c>
      <c r="D15" s="66" t="inlineStr">
        <is>
          <t>Vícekriteriální hodnocení; sebehodnocení / AI / lektor / garant / kombinace — volba autora kurzu.</t>
        </is>
      </c>
      <c r="E15" s="67" t="inlineStr">
        <is>
          <t>Posuzovatel podle kritérií</t>
        </is>
      </c>
      <c r="F15" s="69" t="inlineStr">
        <is>
          <t>Střední</t>
        </is>
      </c>
    </row>
    <row r="16" ht="48" customHeight="1" s="27">
      <c r="A16" s="50" t="inlineStr">
        <is>
          <t>FMT-ART</t>
        </is>
      </c>
      <c r="B16" s="67" t="inlineStr">
        <is>
          <t>Komplexní (finální)</t>
        </is>
      </c>
      <c r="C16" s="68" t="inlineStr">
        <is>
          <t>Artefakt</t>
        </is>
      </c>
      <c r="D16" s="66" t="inlineStr">
        <is>
          <t>Komplexní produkt skládaný postupně přes F4 aplikace modulů; partner v tvorbě + hodnotitel finální podoby.</t>
        </is>
      </c>
      <c r="E16" s="67" t="inlineStr">
        <is>
          <t>Partner + hodnotitel</t>
        </is>
      </c>
      <c r="F16" s="69" t="inlineStr">
        <is>
          <t>Vyšší</t>
        </is>
      </c>
    </row>
    <row r="17" ht="48" customHeight="1" s="27">
      <c r="A17" s="50" t="inlineStr">
        <is>
          <t>FMT-JIN</t>
        </is>
      </c>
      <c r="B17" s="67" t="inlineStr">
        <is>
          <t>Otevřený</t>
        </is>
      </c>
      <c r="C17" s="68" t="inlineStr">
        <is>
          <t>Jiné</t>
        </is>
      </c>
      <c r="D17" s="66" t="inlineStr">
        <is>
          <t>Volný formát mimo katalog. Popište přesně v poli 'Konkrétní znění / instrukce'.</t>
        </is>
      </c>
      <c r="E17" s="67" t="inlineStr">
        <is>
          <t>Dle popisu</t>
        </is>
      </c>
      <c r="F17" s="69" t="inlineStr">
        <is>
          <t>Dle popisu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style="27" min="1" max="1"/>
    <col width="12" customWidth="1" style="27" min="2" max="2"/>
    <col width="30" customWidth="1" style="27" min="3" max="3"/>
    <col width="26" customWidth="1" style="27" min="4" max="4"/>
    <col width="110" customWidth="1" style="27" min="5" max="5"/>
  </cols>
  <sheetData>
    <row r="1">
      <c r="A1" s="70" t="inlineStr">
        <is>
          <t>ČÍSELNÍK  |  Cílové skupiny kurzů (3)</t>
        </is>
      </c>
    </row>
    <row r="2" ht="45" customHeight="1" s="27">
      <c r="A2" s="61" t="inlineStr">
        <is>
          <t>📘 Referenční číselník — read-only. Sloupec „Definice pro generátor" čte generátor kurzů jako DEFINICE CÍLOVÉ SKUPINY. Úroveň pokročilosti se týká zkušenosti s AI, ne odbornosti v oboru. Skupina THP a Host zatím mimo číselník.</t>
        </is>
      </c>
    </row>
    <row r="4">
      <c r="A4" s="71" t="inlineStr">
        <is>
          <t>Kód</t>
        </is>
      </c>
      <c r="B4" s="71" t="inlineStr">
        <is>
          <t>Skupina</t>
        </is>
      </c>
      <c r="C4" s="71" t="inlineStr">
        <is>
          <t>Popis do katalogu</t>
        </is>
      </c>
      <c r="D4" s="71" t="inlineStr">
        <is>
          <t>Větve ve starších podkladech</t>
        </is>
      </c>
      <c r="E4" s="71" t="inlineStr">
        <is>
          <t>Definice pro generátor (prompt_definition)</t>
        </is>
      </c>
    </row>
    <row r="5" ht="170" customHeight="1" s="27">
      <c r="A5" s="72" t="inlineStr">
        <is>
          <t>a</t>
        </is>
      </c>
      <c r="B5" s="73" t="inlineStr">
        <is>
          <t>Akademik</t>
        </is>
      </c>
      <c r="C5" s="74" t="inlineStr">
        <is>
          <t>Akademický pracovník VŠ – vyučující, výzkumník, doktorand</t>
        </is>
      </c>
      <c r="D5" s="73" t="inlineStr">
        <is>
          <t>Akademik / doktorand</t>
        </is>
      </c>
      <c r="E5" s="73" t="inlineStr">
        <is>
          <t>Akademik: akademický pracovník vysoké školy – vyučující, výzkumník nebo doktorand (Ph.D.). Typické pracovní situace: příprava a vedení výuky; zadávání a hodnocení studentských prací; vedení a oponování závěrečných prací; výzkum, analýza dat a rešerše; psaní odborných textů, grantových přihlášek a posudků; recenzní řízení. Doktorand je zároveň studující: kromě výzkumu a výuky se ho týká i disertační práce a její deklarace využití AI. Pravidla, která se na skupinu vztahují: vnitřní předpisy univerzity v části pro vyučující a zaměstnance, publikační etika, pravidla časopisů a poskytovatelů grantů. Pravidla pro studentské práce na akademiky nepřenášej; výjimkou je disertační práce doktoranda. Oslovení: vykání; osobu neoznačuj rodově – piš „vyučující", případně popisem činnosti („ve výzkumu", „při vedení práce", „v disertaci"). Odborný akademický jazyk je přiměřený na každé úrovni – úroveň pokročilosti se týká zkušenosti s AI, ne odbornosti v oboru.</t>
        </is>
      </c>
    </row>
    <row r="6" ht="170" customHeight="1" s="27">
      <c r="A6" s="72" t="inlineStr">
        <is>
          <t>s</t>
        </is>
      </c>
      <c r="B6" s="73" t="inlineStr">
        <is>
          <t>Student</t>
        </is>
      </c>
      <c r="C6" s="74" t="inlineStr">
        <is>
          <t>Student bakalářského nebo magisterského studia (zejména učitelství)</t>
        </is>
      </c>
      <c r="D6" s="73" t="inlineStr">
        <is>
          <t>Student učitelství</t>
        </is>
      </c>
      <c r="E6" s="73" t="inlineStr">
        <is>
          <t>Student: student bakalářského nebo navazujícího magisterského studia, zejména učitelství. Typické pracovní situace: studium odborných textů; přednášky a semináře; seminární práce; bakalářská a diplomová práce; příprava na zkoušky; příprava hodin a reflexe na pedagogické praxi. Rozlišení stupňů: bakalářský – první samostatné čtení odborného textu, seminární a bakalářská práce, úvodní praxe; magisterský – diplomová práce, vlastní výzkumné šetření, souvislá praxe a samostatné vedení hodin. Příklady volte tak, aby se v nich našli studující obou stupňů, nebo stupeň výslovně uveďte. Pravidla, která se na skupinu vztahují: studijní a zkušební řád, vnitřní předpisy univerzity k užití AI ve studiu (pravidla pro studentské práce a deklarace využití AI), pravidla konkrétního předmětu uvedená v sylabu. Oslovení: vykání; v textu „studující". Nikdy „studente".</t>
        </is>
      </c>
    </row>
    <row r="7" ht="170" customHeight="1" s="27">
      <c r="A7" s="72" t="inlineStr">
        <is>
          <t>m</t>
        </is>
      </c>
      <c r="B7" s="73" t="inlineStr">
        <is>
          <t>Mentor</t>
        </is>
      </c>
      <c r="C7" s="74" t="inlineStr">
        <is>
          <t>Provázející učitel na ZŠ nebo SŠ (mentor pedagogické praxe)</t>
        </is>
      </c>
      <c r="D7" s="73" t="inlineStr">
        <is>
          <t>Mentor / provázející (uvádějící) učitel; Učitel ZŠ/SŠ</t>
        </is>
      </c>
      <c r="E7" s="73" t="inlineStr">
        <is>
          <t>Mentor: provázející učitel na základní nebo střední škole, který vede studenty učitelství na pedagogické praxi a zároveň sám učí žáky. Typické pracovní situace: příprava a vedení vlastních hodin; zadání, testy a hodnocení pro žáky; rozbor a reflexe hodin studenta na praxi; formulace zpětné vazby a hodnocení praxe; komunikace s fakultou a s rodiči. Pravidla, která se na skupinu vztahují: pro vlastní výuku platí pravidla školy (školní řád, pokyny vedení, ochrana osobních údajů žáků). Vnitřní předpisy univerzity se na mentora zpravidla přímo nevztahují; platí ale pro výstupy studenta z praxe (reflexe, portfolio, výstupy do předmětu). Pokud zdroje vztah pravidel k mentorovi neřeší, uveď, že je třeba ho ověřit u školy nebo fakulty. Ochrana údajů: do AI nevkládat osobní údaje žáků ani hodnocení konkrétního studenta. Oslovení: vykání; v textu „mentor" nebo „provázející učitel". Svěřence označuj „student na praxi", žáky „žáci" – tyto skupiny nikdy nezaměňuj.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style="27" min="1" max="1"/>
    <col width="14" customWidth="1" style="27" min="2" max="2"/>
    <col width="28" customWidth="1" style="27" min="3" max="3"/>
    <col width="16" customWidth="1" style="27" min="4" max="4"/>
    <col width="9" customWidth="1" style="27" min="5" max="5"/>
    <col width="12" customWidth="1" style="27" min="6" max="6"/>
    <col width="14" customWidth="1" style="27" min="7" max="7"/>
    <col width="24" customWidth="1" style="27" min="8" max="8"/>
  </cols>
  <sheetData>
    <row r="1">
      <c r="A1" s="70" t="inlineStr">
        <is>
          <t>ČÍSELNÍK  |  Úrovně pokročilosti a délka F1</t>
        </is>
      </c>
    </row>
    <row r="2" ht="45" customHeight="1" s="27">
      <c r="A2" s="61" t="inlineStr">
        <is>
          <t>📘 Referenční číselník — read-only. Úroveň = zkušenost účastníka s AI. F1 = výklad ke čtení, 130 slov/min. Sloupec „Souhrn na téma" určuje limit souhrnu generátoru (počet modulů × hodnota + 2 000 znaků, max. 60 000).</t>
        </is>
      </c>
    </row>
    <row r="4">
      <c r="A4" s="71" t="inlineStr">
        <is>
          <t>Úroveň</t>
        </is>
      </c>
      <c r="B4" s="71" t="inlineStr">
        <is>
          <t>Profil generátoru</t>
        </is>
      </c>
      <c r="C4" s="71" t="inlineStr">
        <is>
          <t>Úrovně platformy (difficulty)</t>
        </is>
      </c>
      <c r="D4" s="71" t="inlineStr">
        <is>
          <t>Náročnost tématu</t>
        </is>
      </c>
      <c r="E4" s="71" t="inlineStr">
        <is>
          <t>F1 (min)</t>
        </is>
      </c>
      <c r="F4" s="71" t="inlineStr">
        <is>
          <t>F1 (slov)</t>
        </is>
      </c>
      <c r="G4" s="71" t="inlineStr">
        <is>
          <t>Souhrn na téma (znaků)</t>
        </is>
      </c>
      <c r="H4" s="71" t="inlineStr">
        <is>
          <t>Klíč (nepřepisovat)</t>
        </is>
      </c>
    </row>
    <row r="5">
      <c r="A5" s="72" t="inlineStr">
        <is>
          <t>Začátečník</t>
        </is>
      </c>
      <c r="B5" s="73" t="inlineStr">
        <is>
          <t>beginner</t>
        </is>
      </c>
      <c r="C5" s="74" t="inlineStr">
        <is>
          <t>complete_beginner, beginner</t>
        </is>
      </c>
      <c r="D5" s="73" t="inlineStr">
        <is>
          <t>nízká / střední</t>
        </is>
      </c>
      <c r="E5" s="73" t="n">
        <v>5</v>
      </c>
      <c r="F5" s="73" t="inlineStr">
        <is>
          <t>600–700</t>
        </is>
      </c>
      <c r="G5" s="73" t="n">
        <v>2500</v>
      </c>
      <c r="H5" s="73" t="inlineStr">
        <is>
          <t>Začátečník|běžná</t>
        </is>
      </c>
    </row>
    <row r="6">
      <c r="A6" s="72" t="inlineStr">
        <is>
          <t>Začátečník</t>
        </is>
      </c>
      <c r="B6" s="73" t="inlineStr">
        <is>
          <t>beginner</t>
        </is>
      </c>
      <c r="C6" s="74" t="inlineStr">
        <is>
          <t>complete_beginner, beginner</t>
        </is>
      </c>
      <c r="D6" s="73" t="inlineStr">
        <is>
          <t>vysoká</t>
        </is>
      </c>
      <c r="E6" s="73" t="n">
        <v>6</v>
      </c>
      <c r="F6" s="73" t="inlineStr">
        <is>
          <t>700–850</t>
        </is>
      </c>
      <c r="G6" s="73" t="n">
        <v>2500</v>
      </c>
      <c r="H6" s="73" t="inlineStr">
        <is>
          <t>Začátečník|vysoká</t>
        </is>
      </c>
    </row>
    <row r="7">
      <c r="A7" s="72" t="inlineStr">
        <is>
          <t>Středně pokročilý</t>
        </is>
      </c>
      <c r="B7" s="73" t="inlineStr">
        <is>
          <t>intermediate</t>
        </is>
      </c>
      <c r="C7" s="74" t="inlineStr">
        <is>
          <t>slightly_advanced, intermediate</t>
        </is>
      </c>
      <c r="D7" s="73" t="inlineStr">
        <is>
          <t>nízká / střední</t>
        </is>
      </c>
      <c r="E7" s="73" t="n">
        <v>7</v>
      </c>
      <c r="F7" s="73" t="inlineStr">
        <is>
          <t>850–1 000</t>
        </is>
      </c>
      <c r="G7" s="73" t="n">
        <v>3500</v>
      </c>
      <c r="H7" s="73" t="inlineStr">
        <is>
          <t>Středně pokročilý|běžná</t>
        </is>
      </c>
    </row>
    <row r="8">
      <c r="A8" s="72" t="inlineStr">
        <is>
          <t>Středně pokročilý</t>
        </is>
      </c>
      <c r="B8" s="73" t="inlineStr">
        <is>
          <t>intermediate</t>
        </is>
      </c>
      <c r="C8" s="74" t="inlineStr">
        <is>
          <t>slightly_advanced, intermediate</t>
        </is>
      </c>
      <c r="D8" s="73" t="inlineStr">
        <is>
          <t>vysoká</t>
        </is>
      </c>
      <c r="E8" s="73" t="n">
        <v>8</v>
      </c>
      <c r="F8" s="73" t="inlineStr">
        <is>
          <t>950–1 100</t>
        </is>
      </c>
      <c r="G8" s="73" t="n">
        <v>3500</v>
      </c>
      <c r="H8" s="73" t="inlineStr">
        <is>
          <t>Středně pokročilý|vysoká</t>
        </is>
      </c>
    </row>
    <row r="9">
      <c r="A9" s="72" t="inlineStr">
        <is>
          <t>Pokročilý</t>
        </is>
      </c>
      <c r="B9" s="73" t="inlineStr">
        <is>
          <t>advanced</t>
        </is>
      </c>
      <c r="C9" s="74" t="inlineStr">
        <is>
          <t>advanced, expert</t>
        </is>
      </c>
      <c r="D9" s="73" t="inlineStr">
        <is>
          <t>nízká / střední</t>
        </is>
      </c>
      <c r="E9" s="73" t="n">
        <v>9</v>
      </c>
      <c r="F9" s="73" t="inlineStr">
        <is>
          <t>1 100–1 250</t>
        </is>
      </c>
      <c r="G9" s="73" t="n">
        <v>5000</v>
      </c>
      <c r="H9" s="73" t="inlineStr">
        <is>
          <t>Pokročilý|běžná</t>
        </is>
      </c>
    </row>
    <row r="10">
      <c r="A10" s="72" t="inlineStr">
        <is>
          <t>Pokročilý</t>
        </is>
      </c>
      <c r="B10" s="73" t="inlineStr">
        <is>
          <t>advanced</t>
        </is>
      </c>
      <c r="C10" s="74" t="inlineStr">
        <is>
          <t>advanced, expert</t>
        </is>
      </c>
      <c r="D10" s="73" t="inlineStr">
        <is>
          <t>vysoká</t>
        </is>
      </c>
      <c r="E10" s="73" t="n">
        <v>10</v>
      </c>
      <c r="F10" s="73" t="inlineStr">
        <is>
          <t>1 250–1 400</t>
        </is>
      </c>
      <c r="G10" s="73" t="n">
        <v>5000</v>
      </c>
      <c r="H10" s="73" t="inlineStr">
        <is>
          <t>Pokročilý|vysoká</t>
        </is>
      </c>
    </row>
    <row r="12">
      <c r="A12" s="70" t="inlineStr">
        <is>
          <t>Profily úrovní</t>
        </is>
      </c>
    </row>
    <row r="13" ht="48" customHeight="1" s="27">
      <c r="A13" s="75" t="inlineStr">
        <is>
          <t>Začátečník</t>
        </is>
      </c>
      <c r="B13" s="73" t="inlineStr">
        <is>
          <t>Kratší věty, každý pojem týkající se AI vysvětlen při prvním výskytu, nejvýše 3 nové pojmy na modul, nejdřív analogie, postupy v číslovaných krocích. Otázky: porozumění pojmu nebo principu; otevřená otázka = popis situace z vlastní práce.</t>
        </is>
      </c>
      <c r="C13" s="41" t="n"/>
      <c r="D13" s="41" t="n"/>
      <c r="E13" s="41" t="n"/>
      <c r="F13" s="41" t="n"/>
      <c r="G13" s="41" t="n"/>
      <c r="H13" s="51" t="n"/>
    </row>
    <row r="14" ht="48" customHeight="1" s="27">
      <c r="A14" s="75" t="inlineStr">
        <is>
          <t>Středně pokročilý</t>
        </is>
      </c>
      <c r="B14" s="73" t="inlineStr">
        <is>
          <t>Základní pojmy jen připomenuty; těžiště v principech, důvodech a typických chybách; srovnání postupů. Otázky: aplikace na situaci; otevřená otázka = zdůvodněné rozhodnutí.</t>
        </is>
      </c>
      <c r="C14" s="41" t="n"/>
      <c r="D14" s="41" t="n"/>
      <c r="E14" s="41" t="n"/>
      <c r="F14" s="41" t="n"/>
      <c r="G14" s="41" t="n"/>
      <c r="H14" s="51" t="n"/>
    </row>
    <row r="15" ht="48" customHeight="1" s="27">
      <c r="A15" s="75" t="inlineStr">
        <is>
          <t>Pokročilý</t>
        </is>
      </c>
      <c r="B15" s="73" t="inlineStr">
        <is>
          <t>Bez elementárního výkladu a analogií; hraniční případy, limity, síla důkazu, institucionální důsledky, protiargumenty, víc detailů. Otázky: distraktory na úrovni nuancí; otevřená otázka = argumentace s protiargumentem.</t>
        </is>
      </c>
      <c r="C15" s="41" t="n"/>
      <c r="D15" s="41" t="n"/>
      <c r="E15" s="41" t="n"/>
      <c r="F15" s="41" t="n"/>
      <c r="G15" s="41" t="n"/>
      <c r="H15" s="51" t="n"/>
    </row>
  </sheetData>
  <mergeCells count="6">
    <mergeCell ref="A12:H12"/>
    <mergeCell ref="B14:H14"/>
    <mergeCell ref="B13:H13"/>
    <mergeCell ref="A2:H2"/>
    <mergeCell ref="B15:H15"/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32" customWidth="1" style="26" min="2" max="2"/>
    <col width="38" customWidth="1" style="26" min="3" max="3"/>
    <col width="50" customWidth="1" style="26" min="4" max="4"/>
  </cols>
  <sheetData>
    <row r="1" ht="27.75" customHeight="1" s="27">
      <c r="A1" s="64" t="inlineStr">
        <is>
          <t>ČÍSELNÍK  |  KRAUU — Kompetenční rámec absolventa učitelství (MŠMT 2023)</t>
        </is>
      </c>
    </row>
    <row r="2" ht="31.5" customHeight="1" s="27">
      <c r="A2" s="38" t="inlineStr">
        <is>
          <t>📘 Referenční číselník — read-only. 18 kompetencí v 6 oblastech. Pokrytí cílí primárně na Úroveň 1 (absolvent/ka). Interní mapování — uživateli se nezobrazuje.</t>
        </is>
      </c>
    </row>
    <row r="3"/>
    <row r="4" ht="15" customHeight="1" s="27">
      <c r="A4" s="65" t="inlineStr">
        <is>
          <t>Kód</t>
        </is>
      </c>
      <c r="B4" s="65" t="inlineStr">
        <is>
          <t>Oblast</t>
        </is>
      </c>
      <c r="C4" s="65" t="inlineStr">
        <is>
          <t>Kompetence</t>
        </is>
      </c>
      <c r="D4" s="65" t="inlineStr">
        <is>
          <t>Popis</t>
        </is>
      </c>
    </row>
    <row r="5" ht="39.75" customHeight="1" s="27">
      <c r="A5" s="50" t="inlineStr">
        <is>
          <t>1.1</t>
        </is>
      </c>
      <c r="B5" s="67" t="inlineStr">
        <is>
          <t>1 Obsah a didaktika</t>
        </is>
      </c>
      <c r="C5" s="68" t="inlineStr">
        <is>
          <t>Rozumí vyučovaným oborům a dále se v nich rozvíjí</t>
        </is>
      </c>
      <c r="D5" s="66" t="inlineStr">
        <is>
          <t>Učitel/ka rozumí oborům, které vyučuje, a systematicky se v nich rozvíjí.</t>
        </is>
      </c>
    </row>
    <row r="6" ht="39.75" customHeight="1" s="27">
      <c r="A6" s="50" t="inlineStr">
        <is>
          <t>1.2</t>
        </is>
      </c>
      <c r="B6" s="67" t="inlineStr">
        <is>
          <t>1 Obsah a didaktika</t>
        </is>
      </c>
      <c r="C6" s="68" t="inlineStr">
        <is>
          <t>Didakticky zprostředkovává obsah žákům</t>
        </is>
      </c>
      <c r="D6" s="66" t="inlineStr">
        <is>
          <t>Zprostředkovává obsah žákům v souladu s jejich vzdělávacími potřebami.</t>
        </is>
      </c>
    </row>
    <row r="7" ht="39.75" customHeight="1" s="27">
      <c r="A7" s="50" t="inlineStr">
        <is>
          <t>2.1</t>
        </is>
      </c>
      <c r="B7" s="67" t="inlineStr">
        <is>
          <t>2 Plánování, vedení a reflexe výuky</t>
        </is>
      </c>
      <c r="C7" s="68" t="inlineStr">
        <is>
          <t>Nastavuje cíle výuky</t>
        </is>
      </c>
      <c r="D7" s="66" t="inlineStr">
        <is>
          <t>Stanovuje srozumitelné cíle a vede k jejich nastavování i žáky a žákyně.</t>
        </is>
      </c>
    </row>
    <row r="8" ht="39.75" customHeight="1" s="27">
      <c r="A8" s="50" t="inlineStr">
        <is>
          <t>2.2</t>
        </is>
      </c>
      <c r="B8" s="67" t="inlineStr">
        <is>
          <t>2 Plánování, vedení a reflexe výuky</t>
        </is>
      </c>
      <c r="C8" s="68" t="inlineStr">
        <is>
          <t>Poznává vzdělávací potřeby a plánuje výuku</t>
        </is>
      </c>
      <c r="D8" s="66" t="inlineStr">
        <is>
          <t>Plánuje výuku tak, aby každý žák mohl aktivně dosahovat stanovených cílů.</t>
        </is>
      </c>
    </row>
    <row r="9" ht="39.75" customHeight="1" s="27">
      <c r="A9" s="50" t="inlineStr">
        <is>
          <t>2.3</t>
        </is>
      </c>
      <c r="B9" s="67" t="inlineStr">
        <is>
          <t>2 Plánování, vedení a reflexe výuky</t>
        </is>
      </c>
      <c r="C9" s="68" t="inlineStr">
        <is>
          <t>Podporuje zvídavost a motivaci žáků</t>
        </is>
      </c>
      <c r="D9" s="66" t="inlineStr">
        <is>
          <t>Podporuje u žáků zvídavost a motivaci k učení.</t>
        </is>
      </c>
    </row>
    <row r="10" ht="39.75" customHeight="1" s="27">
      <c r="A10" s="50" t="inlineStr">
        <is>
          <t>2.4</t>
        </is>
      </c>
      <c r="B10" s="67" t="inlineStr">
        <is>
          <t>2 Plánování, vedení a reflexe výuky</t>
        </is>
      </c>
      <c r="C10" s="68" t="inlineStr">
        <is>
          <t>Efektivně vede výuku a zjišťuje porozumění</t>
        </is>
      </c>
      <c r="D10" s="66" t="inlineStr">
        <is>
          <t>Vede výuku efektivně, zjišťuje porozumění a reaguje na potřeby žáků.</t>
        </is>
      </c>
    </row>
    <row r="11" ht="39.75" customHeight="1" s="27">
      <c r="A11" s="50" t="inlineStr">
        <is>
          <t>2.5</t>
        </is>
      </c>
      <c r="B11" s="67" t="inlineStr">
        <is>
          <t>2 Plánování, vedení a reflexe výuky</t>
        </is>
      </c>
      <c r="C11" s="68" t="inlineStr">
        <is>
          <t>Reflektuje výuku</t>
        </is>
      </c>
      <c r="D11" s="66" t="inlineStr">
        <is>
          <t>Reflektuje vlastní výuku a vyhodnocuje dosahování cílů.</t>
        </is>
      </c>
    </row>
    <row r="12" ht="39.75" customHeight="1" s="27">
      <c r="A12" s="50" t="inlineStr">
        <is>
          <t>3.1</t>
        </is>
      </c>
      <c r="B12" s="67" t="inlineStr">
        <is>
          <t>3 Prostředí pro učení</t>
        </is>
      </c>
      <c r="C12" s="68" t="inlineStr">
        <is>
          <t>Vytváří bezpečné prostředí pro učení</t>
        </is>
      </c>
      <c r="D12" s="66" t="inlineStr">
        <is>
          <t>Vytváří fyzicky i psychicky bezpečné prostředí pro učení.</t>
        </is>
      </c>
    </row>
    <row r="13" ht="39.75" customHeight="1" s="27">
      <c r="A13" s="50" t="inlineStr">
        <is>
          <t>3.2</t>
        </is>
      </c>
      <c r="B13" s="67" t="inlineStr">
        <is>
          <t>3 Prostředí pro učení</t>
        </is>
      </c>
      <c r="C13" s="68" t="inlineStr">
        <is>
          <t>Vede žáky k chování podporujícímu učení</t>
        </is>
      </c>
      <c r="D13" s="66" t="inlineStr">
        <is>
          <t>Vede žáky k chování podporujícímu vlastní učení i spolupráci.</t>
        </is>
      </c>
    </row>
    <row r="14" ht="39.75" customHeight="1" s="27">
      <c r="A14" s="50" t="inlineStr">
        <is>
          <t>3.3</t>
        </is>
      </c>
      <c r="B14" s="67" t="inlineStr">
        <is>
          <t>3 Prostředí pro učení</t>
        </is>
      </c>
      <c r="C14" s="68" t="inlineStr">
        <is>
          <t>Uspořádání fyzického a digitálního prostředí</t>
        </is>
      </c>
      <c r="D14" s="66" t="inlineStr">
        <is>
          <t>Zajišťuje vhodné uspořádání fyzického a digitálního prostředí učení.</t>
        </is>
      </c>
    </row>
    <row r="15" ht="39.75" customHeight="1" s="27">
      <c r="A15" s="50" t="inlineStr">
        <is>
          <t>4.1</t>
        </is>
      </c>
      <c r="B15" s="67" t="inlineStr">
        <is>
          <t>4 Zpětná vazba a hodnocení</t>
        </is>
      </c>
      <c r="C15" s="68" t="inlineStr">
        <is>
          <t>Hodnotí na základě kritérií</t>
        </is>
      </c>
      <c r="D15" s="66" t="inlineStr">
        <is>
          <t>Hodnotí žáky na základě jasných kritérií a vede k tomu i žáky.</t>
        </is>
      </c>
    </row>
    <row r="16" ht="39.75" customHeight="1" s="27">
      <c r="A16" s="50" t="inlineStr">
        <is>
          <t>4.2</t>
        </is>
      </c>
      <c r="B16" s="67" t="inlineStr">
        <is>
          <t>4 Zpětná vazba a hodnocení</t>
        </is>
      </c>
      <c r="C16" s="68" t="inlineStr">
        <is>
          <t>Poskytuje a přijímá zpětnou vazbu</t>
        </is>
      </c>
      <c r="D16" s="66" t="inlineStr">
        <is>
          <t>Poskytuje žákům konstruktivní zpětnou vazbu a sám přijímá ZV od žáků.</t>
        </is>
      </c>
    </row>
    <row r="17" ht="39.75" customHeight="1" s="27">
      <c r="A17" s="50" t="inlineStr">
        <is>
          <t>4.3</t>
        </is>
      </c>
      <c r="B17" s="67" t="inlineStr">
        <is>
          <t>4 Zpětná vazba a hodnocení</t>
        </is>
      </c>
      <c r="C17" s="68" t="inlineStr">
        <is>
          <t>Vede žáky k reflexi jejich učení</t>
        </is>
      </c>
      <c r="D17" s="66" t="inlineStr">
        <is>
          <t>Vede žáky k reflexi vlastního učení a samostatné metakognici.</t>
        </is>
      </c>
    </row>
    <row r="18" ht="39.75" customHeight="1" s="27">
      <c r="A18" s="50" t="inlineStr">
        <is>
          <t>5.1</t>
        </is>
      </c>
      <c r="B18" s="67" t="inlineStr">
        <is>
          <t>5 Profesní spolupráce</t>
        </is>
      </c>
      <c r="C18" s="68" t="inlineStr">
        <is>
          <t>Spolupracuje s kolegy a kolegyněmi</t>
        </is>
      </c>
      <c r="D18" s="66" t="inlineStr">
        <is>
          <t>Spolupracuje s kolegy ve prospěch žáků a společného profesního růstu.</t>
        </is>
      </c>
    </row>
    <row r="19" ht="39.75" customHeight="1" s="27">
      <c r="A19" s="50" t="inlineStr">
        <is>
          <t>5.2</t>
        </is>
      </c>
      <c r="B19" s="67" t="inlineStr">
        <is>
          <t>5 Profesní spolupráce</t>
        </is>
      </c>
      <c r="C19" s="68" t="inlineStr">
        <is>
          <t>Spolupracuje s rodiči a širší komunitou školy</t>
        </is>
      </c>
      <c r="D19" s="66" t="inlineStr">
        <is>
          <t>Spolupracuje s rodiči a širší komunitou v zájmu žáků.</t>
        </is>
      </c>
    </row>
    <row r="20" ht="39.75" customHeight="1" s="27">
      <c r="A20" s="50" t="inlineStr">
        <is>
          <t>6.1</t>
        </is>
      </c>
      <c r="B20" s="67" t="inlineStr">
        <is>
          <t>6 Profesní sebepojetí, rozvoj, etika a duševní zdraví</t>
        </is>
      </c>
      <c r="C20" s="68" t="inlineStr">
        <is>
          <t>Utváření profesního sebepojetí a rozvoj</t>
        </is>
      </c>
      <c r="D20" s="66" t="inlineStr">
        <is>
          <t>Systematicky pracuje na utváření profesního sebepojetí a vlastním rozvoji.</t>
        </is>
      </c>
    </row>
    <row r="21" ht="39.75" customHeight="1" s="27">
      <c r="A21" s="50" t="inlineStr">
        <is>
          <t>6.2</t>
        </is>
      </c>
      <c r="B21" s="67" t="inlineStr">
        <is>
          <t>6 Profesní sebepojetí, rozvoj, etika a duševní zdraví</t>
        </is>
      </c>
      <c r="C21" s="68" t="inlineStr">
        <is>
          <t>Odpovědná práce s informacemi a demokratické hodnoty</t>
        </is>
      </c>
      <c r="D21" s="66" t="inlineStr">
        <is>
          <t>Odpovědně pracuje s informacemi a digitálními nástroji, vede k etice.</t>
        </is>
      </c>
    </row>
    <row r="22" ht="39.75" customHeight="1" s="27">
      <c r="A22" s="50" t="inlineStr">
        <is>
          <t>6.3</t>
        </is>
      </c>
      <c r="B22" s="67" t="inlineStr">
        <is>
          <t>6 Profesní sebepojetí, rozvoj, etika a duševní zdraví</t>
        </is>
      </c>
      <c r="C22" s="68" t="inlineStr">
        <is>
          <t>Duševní zdraví a psychohygiena</t>
        </is>
      </c>
      <c r="D22" s="66" t="inlineStr">
        <is>
          <t>Systematicky pečuje o své duševní zdraví a psychohygienu.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C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18" customWidth="1" style="26" min="2" max="2"/>
    <col width="60" customWidth="1" style="26" min="3" max="3"/>
  </cols>
  <sheetData>
    <row r="1" ht="27.75" customHeight="1" s="27">
      <c r="A1" s="64" t="inlineStr">
        <is>
          <t>ČÍSELNÍK  |  Bloomova taxonomie</t>
        </is>
      </c>
    </row>
    <row r="2" ht="24" customHeight="1" s="27">
      <c r="A2" s="38" t="inlineStr">
        <is>
          <t>📘 Slovesa pro formulaci GOALS a OBJECTIVES. Používejte 3. osobu singuláru.</t>
        </is>
      </c>
    </row>
    <row r="3"/>
    <row r="4" ht="15" customHeight="1" s="27">
      <c r="A4" s="65" t="inlineStr">
        <is>
          <t>Úroveň</t>
        </is>
      </c>
      <c r="B4" s="65" t="inlineStr">
        <is>
          <t>Název</t>
        </is>
      </c>
      <c r="C4" s="65" t="inlineStr">
        <is>
          <t>Typická slovesa pro GOALS a OBJECTIVES</t>
        </is>
      </c>
    </row>
    <row r="5" ht="24" customHeight="1" s="27">
      <c r="A5" s="50" t="inlineStr">
        <is>
          <t>1</t>
        </is>
      </c>
      <c r="B5" s="68" t="inlineStr">
        <is>
          <t>Zapamatovat</t>
        </is>
      </c>
      <c r="C5" s="67" t="inlineStr">
        <is>
          <t>vyjmenuje, popíše, identifikuje, rozpozná, zopakuje</t>
        </is>
      </c>
    </row>
    <row r="6" ht="24" customHeight="1" s="27">
      <c r="A6" s="50" t="inlineStr">
        <is>
          <t>2</t>
        </is>
      </c>
      <c r="B6" s="68" t="inlineStr">
        <is>
          <t>Porozumět</t>
        </is>
      </c>
      <c r="C6" s="67" t="inlineStr">
        <is>
          <t>vysvětlí, shrne, klasifikuje, interpretuje, přeloží</t>
        </is>
      </c>
    </row>
    <row r="7" ht="24" customHeight="1" s="27">
      <c r="A7" s="50" t="inlineStr">
        <is>
          <t>3</t>
        </is>
      </c>
      <c r="B7" s="68" t="inlineStr">
        <is>
          <t>Aplikovat</t>
        </is>
      </c>
      <c r="C7" s="67" t="inlineStr">
        <is>
          <t>použije, provede, řeší, demonstruje, implementuje</t>
        </is>
      </c>
    </row>
    <row r="8" ht="24" customHeight="1" s="27">
      <c r="A8" s="50" t="inlineStr">
        <is>
          <t>4</t>
        </is>
      </c>
      <c r="B8" s="68" t="inlineStr">
        <is>
          <t>Analyzovat</t>
        </is>
      </c>
      <c r="C8" s="67" t="inlineStr">
        <is>
          <t>porovná, rozliší, zhodnotí strukturu, rozloží, prozkoumá</t>
        </is>
      </c>
    </row>
    <row r="9" ht="24" customHeight="1" s="27">
      <c r="A9" s="50" t="inlineStr">
        <is>
          <t>5</t>
        </is>
      </c>
      <c r="B9" s="68" t="inlineStr">
        <is>
          <t>Hodnotit</t>
        </is>
      </c>
      <c r="C9" s="67" t="inlineStr">
        <is>
          <t>posoudí, obhájí, kriticky zhodnotí, doporučí, zdůvodní</t>
        </is>
      </c>
    </row>
    <row r="10" ht="24" customHeight="1" s="27">
      <c r="A10" s="50" t="inlineStr">
        <is>
          <t>6</t>
        </is>
      </c>
      <c r="B10" s="68" t="inlineStr">
        <is>
          <t>Tvořit</t>
        </is>
      </c>
      <c r="C10" s="67" t="inlineStr">
        <is>
          <t>navrhne, sestaví, vytvoří, zkonstruuje, naplánuje</t>
        </is>
      </c>
    </row>
  </sheetData>
  <mergeCells count="2">
    <mergeCell ref="A1:C1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D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18" customWidth="1" style="26" min="2" max="2"/>
    <col width="45" customWidth="1" style="26" min="3" max="3"/>
    <col width="60" customWidth="1" style="26" min="4" max="4"/>
  </cols>
  <sheetData>
    <row r="1" ht="27.75" customHeight="1" s="27">
      <c r="A1" s="64" t="inlineStr">
        <is>
          <t>ČÍSELNÍK  |  Role uživatelů platformy PRAKTIK-AI</t>
        </is>
      </c>
    </row>
    <row r="2" ht="24" customHeight="1" s="27">
      <c r="A2" s="38" t="inlineStr">
        <is>
          <t>📘 Závazná terminologie pro popisování rolí v matricích a v agentových instrukcích.</t>
        </is>
      </c>
    </row>
    <row r="3"/>
    <row r="4" ht="15" customHeight="1" s="27">
      <c r="A4" s="65" t="inlineStr">
        <is>
          <t>Kód</t>
        </is>
      </c>
      <c r="B4" s="65" t="inlineStr">
        <is>
          <t>Role</t>
        </is>
      </c>
      <c r="C4" s="65" t="inlineStr">
        <is>
          <t>Oprávnění</t>
        </is>
      </c>
      <c r="D4" s="65" t="inlineStr">
        <is>
          <t>Popis</t>
        </is>
      </c>
    </row>
    <row r="5" ht="49.5" customHeight="1" s="27">
      <c r="A5" s="50" t="inlineStr">
        <is>
          <t>ROLE-01</t>
        </is>
      </c>
      <c r="B5" s="68" t="inlineStr">
        <is>
          <t>User (student)</t>
        </is>
      </c>
      <c r="C5" s="66" t="inlineStr">
        <is>
          <t>Studuje kurz, odevzdává artefakt</t>
        </is>
      </c>
      <c r="D5" s="66" t="inlineStr">
        <is>
          <t>Ten, kdo studuje. Prochází kurz, plní fáze F1–F4, odevzdává finální artefakt, sbírá badge.</t>
        </is>
      </c>
    </row>
    <row r="6" ht="49.5" customHeight="1" s="27">
      <c r="A6" s="50" t="inlineStr">
        <is>
          <t>ROLE-02</t>
        </is>
      </c>
      <c r="B6" s="68" t="inlineStr">
        <is>
          <t>Lektor</t>
        </is>
      </c>
      <c r="C6" s="66" t="inlineStr">
        <is>
          <t>Kontroluje výsledky, poskytuje lidskou ZV, navrhuje a generuje kurzy</t>
        </is>
      </c>
      <c r="D6" s="66" t="inlineStr">
        <is>
          <t>Může kontrolovat výsledky studentů, poskytovat lidskou zpětnou vazbu, navrhovat a generovat kurzy. Neschvaluje kurzy ostatních.</t>
        </is>
      </c>
    </row>
    <row r="7" ht="49.5" customHeight="1" s="27">
      <c r="A7" s="50" t="inlineStr">
        <is>
          <t>ROLE-03</t>
        </is>
      </c>
      <c r="B7" s="68" t="inlineStr">
        <is>
          <t>Garant</t>
        </is>
      </c>
      <c r="C7" s="66" t="inlineStr">
        <is>
          <t>Navrhuje + schvaluje vlastní i cizí kurzy, ručí za kvalitu</t>
        </is>
      </c>
      <c r="D7" s="66" t="inlineStr">
        <is>
          <t>Může navrhovat své kurzy a schvalovat cizí kurzy. Hodnotí kvalitativní část validačního checklistu před nahráním matrice na platformu.</t>
        </is>
      </c>
    </row>
    <row r="8" ht="49.5" customHeight="1" s="27">
      <c r="A8" s="50" t="inlineStr">
        <is>
          <t>ROLE-04</t>
        </is>
      </c>
      <c r="B8" s="68" t="inlineStr">
        <is>
          <t>Super admin</t>
        </is>
      </c>
      <c r="C8" s="66" t="inlineStr">
        <is>
          <t>Plný přístup ke všemu</t>
        </is>
      </c>
      <c r="D8" s="66" t="inlineStr">
        <is>
          <t>Má přístup ke všem kurzům, uživatelům, číselníkům a systémovým nastavením platformy.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C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26" min="1" max="1"/>
    <col width="45" customWidth="1" style="26" min="2" max="2"/>
    <col width="55" customWidth="1" style="26" min="3" max="3"/>
  </cols>
  <sheetData>
    <row r="1" ht="27.75" customHeight="1" s="27">
      <c r="A1" s="64" t="inlineStr">
        <is>
          <t>ČÍSELNÍK  |  Pojmy a zkratky</t>
        </is>
      </c>
    </row>
    <row r="2" ht="24" customHeight="1" s="27">
      <c r="A2" s="38" t="inlineStr">
        <is>
          <t>📘 Referenční přehled systémových termínů a zkratek používaných v matrici a na platformě.</t>
        </is>
      </c>
    </row>
    <row r="3"/>
    <row r="4" ht="19.5" customHeight="1" s="27">
      <c r="A4" s="39" t="inlineStr">
        <is>
          <t>Systémové termíny PRAKTIK-AI</t>
        </is>
      </c>
    </row>
    <row r="5" ht="15" customHeight="1" s="27">
      <c r="A5" s="65" t="inlineStr">
        <is>
          <t>Termín</t>
        </is>
      </c>
      <c r="B5" s="65" t="inlineStr">
        <is>
          <t>Co znamená</t>
        </is>
      </c>
      <c r="C5" s="65" t="inlineStr">
        <is>
          <t>Kde v matrici / na platformě</t>
        </is>
      </c>
    </row>
    <row r="6" ht="45" customHeight="1" s="27">
      <c r="A6" s="33" t="inlineStr">
        <is>
          <t>MATRICE</t>
        </is>
      </c>
      <c r="B6" s="66" t="inlineStr">
        <is>
          <t>Tento dokument — specifikace kurzu vyplňovaná metodikem. Vstup pro agenta-tvůrce. Není viditelná pro uživatele platformy.</t>
        </is>
      </c>
      <c r="C6" s="67" t="inlineStr">
        <is>
          <t>celý soubor</t>
        </is>
      </c>
    </row>
    <row r="7" ht="45" customHeight="1" s="27">
      <c r="A7" s="33" t="inlineStr">
        <is>
          <t>GOALS</t>
        </is>
      </c>
      <c r="B7" s="66" t="inlineStr">
        <is>
          <t>Výkonové cíle celého kurzu formulované dle Bloomovy taxonomie. Co absolvent po kurzu zvládá.</t>
        </is>
      </c>
      <c r="C7" s="67" t="inlineStr">
        <is>
          <t>list 2_GOALS</t>
        </is>
      </c>
    </row>
    <row r="8" ht="45" customHeight="1" s="27">
      <c r="A8" s="33" t="inlineStr">
        <is>
          <t>OBJECTIVES</t>
        </is>
      </c>
      <c r="B8" s="66" t="inlineStr">
        <is>
          <t>Dílčí výkonové cíle konkrétního modulu. Přispívají k naplnění GOALS. Modul má 1–3 OBJECTIVES.</t>
        </is>
      </c>
      <c r="C8" s="67" t="inlineStr">
        <is>
          <t>list 3_OBJECTIVES, listy M1–M5</t>
        </is>
      </c>
    </row>
    <row r="9" ht="45" customHeight="1" s="27">
      <c r="A9" s="33" t="inlineStr">
        <is>
          <t>ARTEFAKT</t>
        </is>
      </c>
      <c r="B9" s="66" t="inlineStr">
        <is>
          <t>Konkrétní produkt, který účastník odevzdá na konci kurzu. Budován postupně přes F4 APLIKACE každého modulu.</t>
        </is>
      </c>
      <c r="C9" s="67" t="inlineStr">
        <is>
          <t>list 9_Artefakt</t>
        </is>
      </c>
    </row>
    <row r="10" ht="45" customHeight="1" s="27">
      <c r="A10" s="33" t="inlineStr">
        <is>
          <t>SKIP-TEST</t>
        </is>
      </c>
      <c r="B10" s="66" t="inlineStr">
        <is>
          <t>Volitelný vstupní test modulu. Pokud účastník uspěje (≥ 80 %), modul přeskočí. Pouze deklarativní znalosti.</t>
        </is>
      </c>
      <c r="C10" s="67" t="inlineStr">
        <is>
          <t>list 1_Identifikace (1.5), listy M1–M5</t>
        </is>
      </c>
    </row>
    <row r="11" ht="45" customHeight="1" s="27">
      <c r="A11" s="33" t="inlineStr">
        <is>
          <t>IMPULS</t>
        </is>
      </c>
      <c r="B11" s="66" t="inlineStr">
        <is>
          <t>Úvodní věta nebo otázka, která vtáhne účastníka do tématu na začátku F1 PREZENTACE.</t>
        </is>
      </c>
      <c r="C11" s="67" t="inlineStr">
        <is>
          <t>listy M1–M5</t>
        </is>
      </c>
    </row>
    <row r="12" ht="45" customHeight="1" s="27">
      <c r="A12" s="33" t="inlineStr">
        <is>
          <t>KRAUU</t>
        </is>
      </c>
      <c r="B12" s="66" t="inlineStr">
        <is>
          <t>Kompetenční rámec absolventa a absolventky učitelství (MŠMT, 2023). Interní mapování — nezobrazuje se uživateli.</t>
        </is>
      </c>
      <c r="C12" s="67" t="inlineStr">
        <is>
          <t>list 7_KRAUU_kurz, CIS_KRAUU</t>
        </is>
      </c>
    </row>
    <row r="13" ht="45" customHeight="1" s="27">
      <c r="A13" s="33" t="inlineStr">
        <is>
          <t>BADGE</t>
        </is>
      </c>
      <c r="B13" s="66" t="inlineStr">
        <is>
          <t>Digitální odznak vydaný po splnění finálního ověření ≥ 75 %. Open Badges 3.0 / Europass kompatibilní.</t>
        </is>
      </c>
      <c r="C13" s="67" t="inlineStr">
        <is>
          <t>list 9_Artefakt, 11_Rubrika</t>
        </is>
      </c>
    </row>
    <row r="14" ht="45" customHeight="1" s="27">
      <c r="A14" s="33" t="inlineStr">
        <is>
          <t>RUBRIKA</t>
        </is>
      </c>
      <c r="B14" s="66" t="inlineStr">
        <is>
          <t>Vícekriteriální hodnoticí nástroj v sekci 11. Nastavuje tvůrce kurzu. Hodnotitel: User / Lektor / Garant / AI / Kombinace.</t>
        </is>
      </c>
      <c r="C14" s="67" t="inlineStr">
        <is>
          <t>list 11_Rubrika</t>
        </is>
      </c>
    </row>
    <row r="15" ht="45" customHeight="1" s="27">
      <c r="A15" s="33" t="inlineStr">
        <is>
          <t>CAPSTONE</t>
        </is>
      </c>
      <c r="B15" s="66" t="inlineStr">
        <is>
          <t>Závěrečný modul kurzu. Volba autora: (A) vlastní F1–F4 blok zjednodušený, nebo (B) pouze finální ověření přes rubriku.</t>
        </is>
      </c>
      <c r="C15" s="67" t="inlineStr">
        <is>
          <t>list Capstone</t>
        </is>
      </c>
    </row>
    <row r="16"/>
    <row r="17" ht="19.5" customHeight="1" s="27">
      <c r="A17" s="39" t="inlineStr">
        <is>
          <t>Fáze modulu (F1–F4)</t>
        </is>
      </c>
    </row>
    <row r="18" ht="15" customHeight="1" s="27">
      <c r="A18" s="65" t="inlineStr">
        <is>
          <t>Zkratka</t>
        </is>
      </c>
      <c r="B18" s="65" t="inlineStr">
        <is>
          <t>Plný název</t>
        </is>
      </c>
      <c r="C18" s="65" t="inlineStr">
        <is>
          <t>Co se v této fázi děje</t>
        </is>
      </c>
    </row>
    <row r="19" ht="42" customHeight="1" s="27">
      <c r="A19" s="50" t="inlineStr">
        <is>
          <t>F1</t>
        </is>
      </c>
      <c r="B19" s="68" t="inlineStr">
        <is>
          <t>PREZENTACE</t>
        </is>
      </c>
      <c r="C19" s="66" t="inlineStr">
        <is>
          <t>Výklad ke čtení („příručka") — teorie, ozdrojovaný obsah, diferenciace dle role. 5–10 minut podle úrovně a náročnosti tématu (CIS_Urovne). Začíná IMPULSEM.</t>
        </is>
      </c>
    </row>
    <row r="20" ht="42" customHeight="1" s="27">
      <c r="A20" s="50" t="inlineStr">
        <is>
          <t>F2</t>
        </is>
      </c>
      <c r="B20" s="68" t="inlineStr">
        <is>
          <t>PROCVIČENÍ</t>
        </is>
      </c>
      <c r="C20" s="66" t="inlineStr">
        <is>
          <t>Praktická aktivita, dílna nebo interaktivní cvičení. Účastník si ověřuje nové znalosti v bezpečném prostředí.</t>
        </is>
      </c>
    </row>
    <row r="21" ht="42" customHeight="1" s="27">
      <c r="A21" s="50" t="inlineStr">
        <is>
          <t>F3</t>
        </is>
      </c>
      <c r="B21" s="68" t="inlineStr">
        <is>
          <t>OVĚŘENÍ</t>
        </is>
      </c>
      <c r="C21" s="66" t="inlineStr">
        <is>
          <t>Test nebo checkpoint — verifikuje pochopení OBJECTIVES daného modulu. Podklad pro SKIP-TEST.</t>
        </is>
      </c>
    </row>
    <row r="22" ht="42" customHeight="1" s="27">
      <c r="A22" s="50" t="inlineStr">
        <is>
          <t>F4</t>
        </is>
      </c>
      <c r="B22" s="68" t="inlineStr">
        <is>
          <t>APLIKACE</t>
        </is>
      </c>
      <c r="C22" s="66" t="inlineStr">
        <is>
          <t>Tvorba dílčího úseku ARTEFAKTU. Každý modul přidává jednu část finálního výstupu. NELZE PŘESKOČIT.</t>
        </is>
      </c>
    </row>
    <row r="23"/>
    <row r="24" ht="19.5" customHeight="1" s="27">
      <c r="A24" s="39" t="inlineStr">
        <is>
          <t>Technické zkratky</t>
        </is>
      </c>
    </row>
    <row r="25" ht="15" customHeight="1" s="27">
      <c r="A25" s="65" t="inlineStr">
        <is>
          <t>Zkratka</t>
        </is>
      </c>
      <c r="B25" s="65" t="inlineStr">
        <is>
          <t>Co znamená</t>
        </is>
      </c>
      <c r="C25" s="65" t="inlineStr">
        <is>
          <t>Poznámka</t>
        </is>
      </c>
    </row>
    <row r="26" ht="30" customHeight="1" s="27">
      <c r="A26" s="33" t="inlineStr">
        <is>
          <t>DB</t>
        </is>
      </c>
      <c r="B26" s="67" t="inlineStr">
        <is>
          <t>Databáze — interní systém platformy</t>
        </is>
      </c>
      <c r="C26" s="67" t="inlineStr">
        <is>
          <t>Interní kód (DB) vidí jen backend.</t>
        </is>
      </c>
    </row>
    <row r="27" ht="30" customHeight="1" s="27">
      <c r="A27" s="33" t="inlineStr">
        <is>
          <t>UI</t>
        </is>
      </c>
      <c r="B27" s="67" t="inlineStr">
        <is>
          <t>Uživatelské rozhraní (User Interface)</t>
        </is>
      </c>
      <c r="C27" s="67" t="inlineStr">
        <is>
          <t>Zobrazovací kód (UI) vidí účastník — platforma, certifikát, portfolio.</t>
        </is>
      </c>
    </row>
    <row r="28" ht="30" customHeight="1" s="27">
      <c r="A28" s="33" t="inlineStr">
        <is>
          <t>URL slug</t>
        </is>
      </c>
      <c r="B28" s="67" t="inlineStr">
        <is>
          <t>Část webové adresy identifikující kurz</t>
        </is>
      </c>
      <c r="C28" s="67" t="inlineStr">
        <is>
          <t>Bez diakritiky, pomlčky místo mezer. Př. ai-jak-funguje</t>
        </is>
      </c>
    </row>
    <row r="29" ht="30" customHeight="1" s="27">
      <c r="A29" s="33" t="inlineStr">
        <is>
          <t>EQF</t>
        </is>
      </c>
      <c r="B29" s="67" t="inlineStr">
        <is>
          <t>Evropský rámec kvalifikací (European Qualifications Framework)</t>
        </is>
      </c>
      <c r="C29" s="67" t="inlineStr">
        <is>
          <t>Úrovně 6–8 = vysokoškolské vzdělávání. Vydavatel certifikátů UJEP.</t>
        </is>
      </c>
    </row>
    <row r="30" ht="30" customHeight="1" s="27">
      <c r="A30" s="33" t="inlineStr">
        <is>
          <t>ECTS</t>
        </is>
      </c>
      <c r="B30" s="67" t="inlineStr">
        <is>
          <t>Evropský kreditní systém (European Credit Transfer System)</t>
        </is>
      </c>
      <c r="C30" s="67" t="inlineStr">
        <is>
          <t>1 ECTS ≈ 25–30 hodin práce.</t>
        </is>
      </c>
    </row>
    <row r="31" ht="30" customHeight="1" s="27">
      <c r="A31" s="33" t="inlineStr">
        <is>
          <t>PNG / SVG</t>
        </is>
      </c>
      <c r="B31" s="67" t="inlineStr">
        <is>
          <t>Formáty grafických souborů</t>
        </is>
      </c>
      <c r="C31" s="67" t="inlineStr">
        <is>
          <t>PNG = rastrová. SVG = vektorová. Oba podporuje platforma.</t>
        </is>
      </c>
    </row>
    <row r="32" ht="30" customHeight="1" s="27">
      <c r="A32" s="33" t="inlineStr">
        <is>
          <t>MP3</t>
        </is>
      </c>
      <c r="B32" s="67" t="inlineStr">
        <is>
          <t>Formát zvukového souboru</t>
        </is>
      </c>
      <c r="C32" s="67" t="inlineStr">
        <is>
          <t>Audio nahrávky — např. export z NotebookLM pro účastníky s dyslexií.</t>
        </is>
      </c>
    </row>
  </sheetData>
  <mergeCells count="5">
    <mergeCell ref="A1:C1"/>
    <mergeCell ref="A17:C17"/>
    <mergeCell ref="A4:C4"/>
    <mergeCell ref="A24:C24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2026-05-12T14:52:05Z</dcterms:created>
  <dcterms:modified xmlns:dcterms="http://purl.org/dc/terms/" xmlns:xsi="http://www.w3.org/2001/XMLSchema-instance" xsi:type="dcterms:W3CDTF">2026-09-25T13:31:17Z</dcterms:modified>
  <cp:revision>0</cp:revision>
</cp:coreProperties>
</file>