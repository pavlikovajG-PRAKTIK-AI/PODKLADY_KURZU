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7.xml" ContentType="application/vnd.openxmlformats-officedocument.spreadsheetml.comments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20.xml" ContentType="application/vnd.openxmlformats-officedocument.spreadsheetml.comments+xml"/>
  <Override PartName="/xl/comments18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comments19.xml" ContentType="application/vnd.openxmlformats-officedocument.spreadsheetml.comment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comments13.xml" ContentType="application/vnd.openxmlformats-officedocument.spreadsheetml.comments+xml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Návod" sheetId="1" state="visible" r:id="rId3"/>
    <sheet name="1_Identifikace" sheetId="2" state="visible" r:id="rId4"/>
    <sheet name="2_GOALS" sheetId="3" state="visible" r:id="rId5"/>
    <sheet name="3_OBJECTIVES" sheetId="4" state="visible" r:id="rId6"/>
    <sheet name="4_Vetveni" sheetId="5" state="visible" r:id="rId7"/>
    <sheet name="5_Neuroved_kurz" sheetId="6" state="visible" r:id="rId8"/>
    <sheet name="6_AI_principy" sheetId="7" state="visible" r:id="rId9"/>
    <sheet name="7_KRAUU_kurz" sheetId="8" state="visible" r:id="rId10"/>
    <sheet name="8_Vzory_antipatterns" sheetId="9" state="visible" r:id="rId11"/>
    <sheet name="9_Artefakt" sheetId="10" state="visible" r:id="rId12"/>
    <sheet name="10_Medialni_prilohy" sheetId="11" state="visible" r:id="rId13"/>
    <sheet name="11_Rubrika" sheetId="12" state="visible" r:id="rId14"/>
    <sheet name="12_Vyzkum" sheetId="13" state="visible" r:id="rId15"/>
    <sheet name="13_Validace" sheetId="14" state="visible" r:id="rId16"/>
    <sheet name="M1" sheetId="15" state="visible" r:id="rId17"/>
    <sheet name="M2" sheetId="16" state="visible" r:id="rId18"/>
    <sheet name="M3" sheetId="17" state="visible" r:id="rId19"/>
    <sheet name="M4" sheetId="18" state="visible" r:id="rId20"/>
    <sheet name="M5" sheetId="19" state="visible" r:id="rId21"/>
    <sheet name="Capstone" sheetId="20" state="visible" r:id="rId22"/>
    <sheet name="CIS_Neuroveda" sheetId="21" state="visible" r:id="rId23"/>
    <sheet name="CIS_Formaty" sheetId="22" state="visible" r:id="rId24"/>
    <sheet name="CIS_KRAUU" sheetId="23" state="visible" r:id="rId25"/>
    <sheet name="CIS_Bloom" sheetId="24" state="visible" r:id="rId26"/>
    <sheet name="CIS_Role" sheetId="25" state="visible" r:id="rId27"/>
    <sheet name="CIS_Pojmy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např. A0101 — písmeno + 4 číslice. Unikátní v DB.</t>
        </r>
      </text>
    </comment>
    <comment ref="B6" authorId="0">
      <text>
        <r>
          <rPr>
            <sz val="10"/>
            <rFont val="Arial"/>
            <family val="2"/>
          </rPr>
          <t xml:space="preserve">např. A1, B2, C1.1 — vidí účastník</t>
        </r>
      </text>
    </comment>
    <comment ref="B7" authorId="0">
      <text>
        <r>
          <rPr>
            <sz val="10"/>
            <rFont val="Arial"/>
            <family val="2"/>
          </rPr>
          <t xml:space="preserve">např. ai-jak-funguje — bez diakritiky, pomlčky místo mezer</t>
        </r>
      </text>
    </comment>
    <comment ref="B8" authorId="0">
      <text>
        <r>
          <rPr>
            <sz val="10"/>
            <rFont val="Arial"/>
            <family val="2"/>
          </rPr>
          <t xml:space="preserve">celý název pro certifikát UJEP</t>
        </r>
      </text>
    </comment>
    <comment ref="B9" authorId="0">
      <text>
        <r>
          <rPr>
            <sz val="10"/>
            <rFont val="Arial"/>
            <family val="2"/>
          </rPr>
          <t xml:space="preserve">pojmenovaná bolest praxe — 1–2 věty</t>
        </r>
      </text>
    </comment>
    <comment ref="B10" authorId="0">
      <text>
        <r>
          <rPr>
            <sz val="10"/>
            <rFont val="Arial"/>
            <family val="2"/>
          </rPr>
          <t xml:space="preserve">jeden konkrétní artefakt — podrobně viz list 9_Artefakt</t>
        </r>
      </text>
    </comment>
    <comment ref="B13" authorId="0">
      <text>
        <r>
          <rPr>
            <sz val="10"/>
            <rFont val="Arial"/>
            <family val="2"/>
          </rPr>
          <t xml:space="preserve">A / B / C</t>
        </r>
      </text>
    </comment>
    <comment ref="B14" authorId="0">
      <text>
        <r>
          <rPr>
            <sz val="10"/>
            <rFont val="Arial"/>
            <family val="2"/>
          </rPr>
          <t xml:space="preserve">v1 / v2 / v3</t>
        </r>
      </text>
    </comment>
    <comment ref="B15" authorId="0">
      <text>
        <r>
          <rPr>
            <sz val="10"/>
            <rFont val="Arial"/>
            <family val="2"/>
          </rPr>
          <t xml:space="preserve">číslo</t>
        </r>
      </text>
    </comment>
    <comment ref="B16" authorId="0">
      <text>
        <r>
          <rPr>
            <sz val="10"/>
            <rFont val="Arial"/>
            <family val="2"/>
          </rPr>
          <t xml:space="preserve">vstupní / vstupní–středně pokročilý / středně pokročilý / pokročilý</t>
        </r>
      </text>
    </comment>
    <comment ref="B17" authorId="0">
      <text>
        <r>
          <rPr>
            <sz val="10"/>
            <rFont val="Arial"/>
            <family val="2"/>
          </rPr>
          <t xml:space="preserve">povinný pro všechny / doporučený základ / volitelný</t>
        </r>
      </text>
    </comment>
    <comment ref="B18" authorId="0">
      <text>
        <r>
          <rPr>
            <sz val="10"/>
            <rFont val="Arial"/>
            <family val="2"/>
          </rPr>
          <t xml:space="preserve">6 / 7 / 8 nebo rozsah (např. 6–8)</t>
        </r>
      </text>
    </comment>
    <comment ref="B19" authorId="0">
      <text>
        <r>
          <rPr>
            <sz val="10"/>
            <rFont val="Arial"/>
            <family val="2"/>
          </rPr>
          <t xml:space="preserve">1 ECTS = 25–30 h, např. 0.10</t>
        </r>
      </text>
    </comment>
    <comment ref="B20" authorId="0">
      <text>
        <r>
          <rPr>
            <sz val="10"/>
            <rFont val="Arial"/>
            <family val="2"/>
          </rPr>
          <t xml:space="preserve">kódy kurzů oddělené čárkou nebo 'žádné'</t>
        </r>
      </text>
    </comment>
    <comment ref="B21" authorId="0">
      <text>
        <r>
          <rPr>
            <sz val="10"/>
            <rFont val="Arial"/>
            <family val="2"/>
          </rPr>
          <t xml:space="preserve">kódy kurzů oddělené čárkou nebo 'žádné'</t>
        </r>
      </text>
    </comment>
    <comment ref="B29" authorId="0">
      <text>
        <r>
          <rPr>
            <sz val="10"/>
            <rFont val="Arial"/>
            <family val="2"/>
          </rPr>
          <t xml:space="preserve">2–3 věty kontextu pro uživatele — vykání, bez KRAUU. Zobrazí se jako první v kurzu.</t>
        </r>
      </text>
    </comment>
    <comment ref="B30" authorId="0">
      <text>
        <r>
          <rPr>
            <sz val="10"/>
            <rFont val="Arial"/>
            <family val="2"/>
          </rPr>
          <t xml:space="preserve">co kurz předpokládá, pro koho je vhodný, jak navazuje na jiné kurzy</t>
        </r>
      </text>
    </comment>
    <comment ref="B33" authorId="0">
      <text>
        <r>
          <rPr>
            <sz val="10"/>
            <rFont val="Arial"/>
            <family val="2"/>
          </rPr>
          <t xml:space="preserve">ano / ne</t>
        </r>
      </text>
    </comment>
    <comment ref="B34" authorId="0">
      <text>
        <r>
          <rPr>
            <sz val="10"/>
            <rFont val="Arial"/>
            <family val="2"/>
          </rPr>
          <t xml:space="preserve">celkový test před kurzem / test konkrétních modulů</t>
        </r>
      </text>
    </comment>
    <comment ref="B35" authorId="0">
      <text>
        <r>
          <rPr>
            <sz val="10"/>
            <rFont val="Arial"/>
            <family val="2"/>
          </rPr>
          <t xml:space="preserve">80 — závazná hodnota platformy</t>
        </r>
      </text>
    </comment>
    <comment ref="B36" authorId="0">
      <text>
        <r>
          <rPr>
            <sz val="10"/>
            <rFont val="Arial"/>
            <family val="2"/>
          </rPr>
          <t xml:space="preserve">přesměrování na moduly s mezerami / celý kurz povinný</t>
        </r>
      </text>
    </comment>
    <comment ref="B41" authorId="0">
      <text>
        <r>
          <rPr>
            <sz val="10"/>
            <rFont val="Arial"/>
            <family val="2"/>
          </rPr>
          <t xml:space="preserve">volitelně — co ke stylu upřesnit pro tento kurz</t>
        </r>
      </text>
    </comment>
    <comment ref="B42" authorId="0">
      <text>
        <r>
          <rPr>
            <sz val="10"/>
            <rFont val="Arial"/>
            <family val="2"/>
          </rPr>
          <t xml:space="preserve">např. 5 min F1 / 8 min F2 / 4 min F3 / 8 min F4</t>
        </r>
      </text>
    </comment>
    <comment ref="B45" authorId="0">
      <text>
        <r>
          <rPr>
            <sz val="10"/>
            <rFont val="Arial"/>
            <family val="2"/>
          </rPr>
          <t xml:space="preserve">Absolvent prokazuje… (souhrnný popis GOALS, max. 3–4 věty)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strukturované srovnání / rubrika / plán / scénář / dopis / jiné</t>
        </r>
      </text>
    </comment>
    <comment ref="B6" authorId="0">
      <text>
        <r>
          <rPr>
            <sz val="10"/>
            <rFont val="Arial"/>
            <family val="2"/>
          </rPr>
          <t xml:space="preserve">povinné části nebo sekce</t>
        </r>
      </text>
    </comment>
    <comment ref="B7" authorId="0">
      <text>
        <r>
          <rPr>
            <sz val="10"/>
            <rFont val="Arial"/>
            <family val="2"/>
          </rPr>
          <t xml:space="preserve">nepřijatelné formy nebo zkratky</t>
        </r>
      </text>
    </comment>
    <comment ref="B8" authorId="0">
      <text>
        <r>
          <rPr>
            <sz val="10"/>
            <rFont val="Arial"/>
            <family val="2"/>
          </rPr>
          <t xml:space="preserve">docx / xlsx / pdf / jiné</t>
        </r>
      </text>
    </comment>
    <comment ref="B9" authorId="0">
      <text>
        <r>
          <rPr>
            <sz val="10"/>
            <rFont val="Arial"/>
            <family val="2"/>
          </rPr>
          <t xml:space="preserve">ano / ne</t>
        </r>
      </text>
    </comment>
    <comment ref="B10" authorId="0">
      <text>
        <r>
          <rPr>
            <sz val="10"/>
            <rFont val="Arial"/>
            <family val="2"/>
          </rPr>
          <t xml:space="preserve">splnění finálního ověření ≥ 75 % + odevzdání artefaktu</t>
        </r>
      </text>
    </comment>
    <comment ref="B11" authorId="0">
      <text>
        <r>
          <rPr>
            <sz val="10"/>
            <rFont val="Arial"/>
            <family val="2"/>
          </rPr>
          <t xml:space="preserve">název mikrocertifikátu bloku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Hodnocení artefaktu / Výsledky kurzu (sebehodnocení)</t>
        </r>
      </text>
    </comment>
    <comment ref="B6" authorId="0">
      <text>
        <r>
          <rPr>
            <sz val="10"/>
            <rFont val="Arial"/>
            <family val="2"/>
          </rPr>
          <t xml:space="preserve">Uživatel / Lektor / Garant / AI / Kombinace</t>
        </r>
      </text>
    </comment>
    <comment ref="B7" authorId="0">
      <text>
        <r>
          <rPr>
            <sz val="10"/>
            <rFont val="Arial"/>
            <family val="2"/>
          </rPr>
          <t xml:space="preserve">75 — závazná hodnota platformy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volitelné — napište nebo nechte prázdné</t>
        </r>
      </text>
    </comment>
    <comment ref="B5" authorId="0">
      <text>
        <r>
          <rPr>
            <sz val="10"/>
            <rFont val="Arial"/>
            <family val="2"/>
          </rPr>
          <t xml:space="preserve">ano / ne</t>
        </r>
      </text>
    </comment>
    <comment ref="B6" authorId="0">
      <text>
        <r>
          <rPr>
            <sz val="10"/>
            <rFont val="Arial"/>
            <family val="2"/>
          </rPr>
          <t xml:space="preserve">ano / ne</t>
        </r>
      </text>
    </comment>
    <comment ref="B7" authorId="0">
      <text>
        <r>
          <rPr>
            <sz val="10"/>
            <rFont val="Arial"/>
            <family val="2"/>
          </rPr>
          <t xml:space="preserve">ano / ne (volitelné pro uživatele)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název modulu</t>
        </r>
      </text>
    </comment>
    <comment ref="B5" authorId="0">
      <text>
        <r>
          <rPr>
            <sz val="10"/>
            <rFont val="Arial"/>
            <family val="2"/>
          </rPr>
          <t xml:space="preserve">číslo</t>
        </r>
      </text>
    </comment>
    <comment ref="B6" authorId="0">
      <text>
        <r>
          <rPr>
            <sz val="10"/>
            <rFont val="Arial"/>
            <family val="2"/>
          </rPr>
          <t xml:space="preserve">1 věta nebo otázka, která vtáhne uživatele do tématu — překvapivý výsledek / mýtus / problémová situace / provokativní otázka</t>
        </r>
      </text>
    </comment>
    <comment ref="B7" authorId="0">
      <text>
        <r>
          <rPr>
            <sz val="10"/>
            <rFont val="Arial"/>
            <family val="2"/>
          </rPr>
          <t xml:space="preserve">ID z listu 3_OBJECTIVES, oddělená čárkou</t>
        </r>
      </text>
    </comment>
    <comment ref="B8" authorId="0">
      <text>
        <r>
          <rPr>
            <sz val="10"/>
            <rFont val="Arial"/>
            <family val="2"/>
          </rPr>
          <t xml:space="preserve">ano / ne</t>
        </r>
      </text>
    </comment>
    <comment ref="B9" authorId="0">
      <text>
        <r>
          <rPr>
            <sz val="10"/>
            <rFont val="Arial"/>
            <family val="2"/>
          </rPr>
          <t xml:space="preserve">úroveň Bloom z 2_GOALS + popis, kterou část artefaktu F4 produkuje</t>
        </r>
      </text>
    </comment>
    <comment ref="B10" authorId="0">
      <text>
        <r>
          <rPr>
            <sz val="10"/>
            <rFont val="Arial"/>
            <family val="2"/>
          </rPr>
          <t xml:space="preserve">volitelné — jak se obsah liší dle role (akademik / mentor / student učitelství)</t>
        </r>
      </text>
    </comment>
    <comment ref="B13" authorId="0">
      <text>
        <r>
          <rPr>
            <sz val="10"/>
            <rFont val="Arial"/>
            <family val="2"/>
          </rPr>
          <t xml:space="preserve">max. 5</t>
        </r>
      </text>
    </comment>
    <comment ref="B14" authorId="0">
      <text>
        <r>
          <rPr>
            <sz val="10"/>
            <rFont val="Arial"/>
            <family val="2"/>
          </rPr>
          <t xml:space="preserve">teorie, ozdrojovaný obsah, diferenciace dle role</t>
        </r>
      </text>
    </comment>
    <comment ref="B17" authorId="0">
      <text>
        <r>
          <rPr>
            <sz val="10"/>
            <rFont val="Arial"/>
            <family val="2"/>
          </rPr>
          <t xml:space="preserve">číslo</t>
        </r>
      </text>
    </comment>
    <comment ref="B18" authorId="0">
      <text>
        <r>
          <rPr>
            <sz val="10"/>
            <rFont val="Arial"/>
            <family val="2"/>
          </rPr>
          <t xml:space="preserve">kód formátu (např. FMT-MCQ) — viz list CIS_Formaty</t>
        </r>
      </text>
    </comment>
    <comment ref="B19" authorId="0">
      <text>
        <r>
          <rPr>
            <sz val="10"/>
            <rFont val="Arial"/>
            <family val="2"/>
          </rPr>
          <t xml:space="preserve">přesné znění otázek nebo instrukce</t>
        </r>
      </text>
    </comment>
    <comment ref="B22" authorId="0">
      <text>
        <r>
          <rPr>
            <sz val="10"/>
            <rFont val="Arial"/>
            <family val="2"/>
          </rPr>
          <t xml:space="preserve">číslo</t>
        </r>
      </text>
    </comment>
    <comment ref="B23" authorId="0">
      <text>
        <r>
          <rPr>
            <sz val="10"/>
            <rFont val="Arial"/>
            <family val="2"/>
          </rPr>
          <t xml:space="preserve">kód formátu (např. FMT-MCQ) — viz list CIS_Formaty</t>
        </r>
      </text>
    </comment>
    <comment ref="B24" authorId="0">
      <text>
        <r>
          <rPr>
            <sz val="10"/>
            <rFont val="Arial"/>
            <family val="2"/>
          </rPr>
          <t xml:space="preserve">přesné znění otázek nebo instrukce</t>
        </r>
      </text>
    </comment>
    <comment ref="B27" authorId="0">
      <text>
        <r>
          <rPr>
            <sz val="10"/>
            <rFont val="Arial"/>
            <family val="2"/>
          </rPr>
          <t xml:space="preserve">číslo</t>
        </r>
      </text>
    </comment>
    <comment ref="B28" authorId="0">
      <text>
        <r>
          <rPr>
            <sz val="10"/>
            <rFont val="Arial"/>
            <family val="2"/>
          </rPr>
          <t xml:space="preserve">dílčí úsek finálního artefaktu — konkrétní výstup</t>
        </r>
      </text>
    </comment>
    <comment ref="B31" authorId="0">
      <text>
        <r>
          <rPr>
            <sz val="10"/>
            <rFont val="Arial"/>
            <family val="2"/>
          </rPr>
          <t xml:space="preserve">např. NP-03, NP-04, NP-18 — oddělené čárkou</t>
        </r>
      </text>
    </comment>
    <comment ref="B32" authorId="0">
      <text>
        <r>
          <rPr>
            <sz val="10"/>
            <rFont val="Arial"/>
            <family val="2"/>
          </rPr>
          <t xml:space="preserve">např. F2: NP-04 — zadání je záměrně obtížnější, než lze zvládnout s AI samotnou</t>
        </r>
      </text>
    </comment>
    <comment ref="B35" authorId="0">
      <text>
        <r>
          <rPr>
            <sz val="10"/>
            <rFont val="Arial"/>
            <family val="2"/>
          </rPr>
          <t xml:space="preserve">kód formátu z CIS_Formaty</t>
        </r>
      </text>
    </comment>
    <comment ref="B36" authorId="0">
      <text>
        <r>
          <rPr>
            <sz val="10"/>
            <rFont val="Arial"/>
            <family val="2"/>
          </rPr>
          <t xml:space="preserve">přesné znění nebo instrukce</t>
        </r>
      </text>
    </comment>
    <comment ref="B37" authorId="0">
      <text>
        <r>
          <rPr>
            <sz val="10"/>
            <rFont val="Arial"/>
            <family val="2"/>
          </rPr>
          <t xml:space="preserve">AI / Lektor / Garant / Uživatel (sebehodnocení) / Kombinace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název modulu</t>
        </r>
      </text>
    </comment>
    <comment ref="B5" authorId="0">
      <text>
        <r>
          <rPr>
            <sz val="10"/>
            <rFont val="Arial"/>
            <family val="2"/>
          </rPr>
          <t xml:space="preserve">číslo</t>
        </r>
      </text>
    </comment>
    <comment ref="B6" authorId="0">
      <text>
        <r>
          <rPr>
            <sz val="10"/>
            <rFont val="Arial"/>
            <family val="2"/>
          </rPr>
          <t xml:space="preserve">1 věta nebo otázka, která vtáhne uživatele do tématu — překvapivý výsledek / mýtus / problémová situace / provokativní otázka</t>
        </r>
      </text>
    </comment>
    <comment ref="B7" authorId="0">
      <text>
        <r>
          <rPr>
            <sz val="10"/>
            <rFont val="Arial"/>
            <family val="2"/>
          </rPr>
          <t xml:space="preserve">ID z listu 3_OBJECTIVES, oddělená čárkou</t>
        </r>
      </text>
    </comment>
    <comment ref="B8" authorId="0">
      <text>
        <r>
          <rPr>
            <sz val="10"/>
            <rFont val="Arial"/>
            <family val="2"/>
          </rPr>
          <t xml:space="preserve">ano / ne</t>
        </r>
      </text>
    </comment>
    <comment ref="B9" authorId="0">
      <text>
        <r>
          <rPr>
            <sz val="10"/>
            <rFont val="Arial"/>
            <family val="2"/>
          </rPr>
          <t xml:space="preserve">úroveň Bloom z 2_GOALS + popis, kterou část artefaktu F4 produkuje</t>
        </r>
      </text>
    </comment>
    <comment ref="B10" authorId="0">
      <text>
        <r>
          <rPr>
            <sz val="10"/>
            <rFont val="Arial"/>
            <family val="2"/>
          </rPr>
          <t xml:space="preserve">volitelné — jak se obsah liší dle role (akademik / mentor / student učitelství)</t>
        </r>
      </text>
    </comment>
    <comment ref="B13" authorId="0">
      <text>
        <r>
          <rPr>
            <sz val="10"/>
            <rFont val="Arial"/>
            <family val="2"/>
          </rPr>
          <t xml:space="preserve">max. 5</t>
        </r>
      </text>
    </comment>
    <comment ref="B14" authorId="0">
      <text>
        <r>
          <rPr>
            <sz val="10"/>
            <rFont val="Arial"/>
            <family val="2"/>
          </rPr>
          <t xml:space="preserve">teorie, ozdrojovaný obsah, diferenciace dle role</t>
        </r>
      </text>
    </comment>
    <comment ref="B17" authorId="0">
      <text>
        <r>
          <rPr>
            <sz val="10"/>
            <rFont val="Arial"/>
            <family val="2"/>
          </rPr>
          <t xml:space="preserve">číslo</t>
        </r>
      </text>
    </comment>
    <comment ref="B18" authorId="0">
      <text>
        <r>
          <rPr>
            <sz val="10"/>
            <rFont val="Arial"/>
            <family val="2"/>
          </rPr>
          <t xml:space="preserve">kód formátu (např. FMT-MCQ) — viz list CIS_Formaty</t>
        </r>
      </text>
    </comment>
    <comment ref="B19" authorId="0">
      <text>
        <r>
          <rPr>
            <sz val="10"/>
            <rFont val="Arial"/>
            <family val="2"/>
          </rPr>
          <t xml:space="preserve">přesné znění otázek nebo instrukce</t>
        </r>
      </text>
    </comment>
    <comment ref="B22" authorId="0">
      <text>
        <r>
          <rPr>
            <sz val="10"/>
            <rFont val="Arial"/>
            <family val="2"/>
          </rPr>
          <t xml:space="preserve">číslo</t>
        </r>
      </text>
    </comment>
    <comment ref="B23" authorId="0">
      <text>
        <r>
          <rPr>
            <sz val="10"/>
            <rFont val="Arial"/>
            <family val="2"/>
          </rPr>
          <t xml:space="preserve">kód formátu (např. FMT-MCQ) — viz list CIS_Formaty</t>
        </r>
      </text>
    </comment>
    <comment ref="B24" authorId="0">
      <text>
        <r>
          <rPr>
            <sz val="10"/>
            <rFont val="Arial"/>
            <family val="2"/>
          </rPr>
          <t xml:space="preserve">přesné znění otázek nebo instrukce</t>
        </r>
      </text>
    </comment>
    <comment ref="B27" authorId="0">
      <text>
        <r>
          <rPr>
            <sz val="10"/>
            <rFont val="Arial"/>
            <family val="2"/>
          </rPr>
          <t xml:space="preserve">číslo</t>
        </r>
      </text>
    </comment>
    <comment ref="B28" authorId="0">
      <text>
        <r>
          <rPr>
            <sz val="10"/>
            <rFont val="Arial"/>
            <family val="2"/>
          </rPr>
          <t xml:space="preserve">dílčí úsek finálního artefaktu — konkrétní výstup</t>
        </r>
      </text>
    </comment>
    <comment ref="B31" authorId="0">
      <text>
        <r>
          <rPr>
            <sz val="10"/>
            <rFont val="Arial"/>
            <family val="2"/>
          </rPr>
          <t xml:space="preserve">např. NP-03, NP-04, NP-18 — oddělené čárkou</t>
        </r>
      </text>
    </comment>
    <comment ref="B32" authorId="0">
      <text>
        <r>
          <rPr>
            <sz val="10"/>
            <rFont val="Arial"/>
            <family val="2"/>
          </rPr>
          <t xml:space="preserve">např. F2: NP-04 — zadání je záměrně obtížnější, než lze zvládnout s AI samotnou</t>
        </r>
      </text>
    </comment>
    <comment ref="B35" authorId="0">
      <text>
        <r>
          <rPr>
            <sz val="10"/>
            <rFont val="Arial"/>
            <family val="2"/>
          </rPr>
          <t xml:space="preserve">kód formátu z CIS_Formaty</t>
        </r>
      </text>
    </comment>
    <comment ref="B36" authorId="0">
      <text>
        <r>
          <rPr>
            <sz val="10"/>
            <rFont val="Arial"/>
            <family val="2"/>
          </rPr>
          <t xml:space="preserve">přesné znění nebo instrukce</t>
        </r>
      </text>
    </comment>
    <comment ref="B37" authorId="0">
      <text>
        <r>
          <rPr>
            <sz val="10"/>
            <rFont val="Arial"/>
            <family val="2"/>
          </rPr>
          <t xml:space="preserve">AI / Lektor / Garant / Uživatel (sebehodnocení) / Kombinace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název modulu</t>
        </r>
      </text>
    </comment>
    <comment ref="B5" authorId="0">
      <text>
        <r>
          <rPr>
            <sz val="10"/>
            <rFont val="Arial"/>
            <family val="2"/>
          </rPr>
          <t xml:space="preserve">číslo</t>
        </r>
      </text>
    </comment>
    <comment ref="B6" authorId="0">
      <text>
        <r>
          <rPr>
            <sz val="10"/>
            <rFont val="Arial"/>
            <family val="2"/>
          </rPr>
          <t xml:space="preserve">1 věta nebo otázka, která vtáhne uživatele do tématu — překvapivý výsledek / mýtus / problémová situace / provokativní otázka</t>
        </r>
      </text>
    </comment>
    <comment ref="B7" authorId="0">
      <text>
        <r>
          <rPr>
            <sz val="10"/>
            <rFont val="Arial"/>
            <family val="2"/>
          </rPr>
          <t xml:space="preserve">ID z listu 3_OBJECTIVES, oddělená čárkou</t>
        </r>
      </text>
    </comment>
    <comment ref="B8" authorId="0">
      <text>
        <r>
          <rPr>
            <sz val="10"/>
            <rFont val="Arial"/>
            <family val="2"/>
          </rPr>
          <t xml:space="preserve">ano / ne</t>
        </r>
      </text>
    </comment>
    <comment ref="B9" authorId="0">
      <text>
        <r>
          <rPr>
            <sz val="10"/>
            <rFont val="Arial"/>
            <family val="2"/>
          </rPr>
          <t xml:space="preserve">úroveň Bloom z 2_GOALS + popis, kterou část artefaktu F4 produkuje</t>
        </r>
      </text>
    </comment>
    <comment ref="B10" authorId="0">
      <text>
        <r>
          <rPr>
            <sz val="10"/>
            <rFont val="Arial"/>
            <family val="2"/>
          </rPr>
          <t xml:space="preserve">volitelné — jak se obsah liší dle role (akademik / mentor / student učitelství)</t>
        </r>
      </text>
    </comment>
    <comment ref="B13" authorId="0">
      <text>
        <r>
          <rPr>
            <sz val="10"/>
            <rFont val="Arial"/>
            <family val="2"/>
          </rPr>
          <t xml:space="preserve">max. 5</t>
        </r>
      </text>
    </comment>
    <comment ref="B14" authorId="0">
      <text>
        <r>
          <rPr>
            <sz val="10"/>
            <rFont val="Arial"/>
            <family val="2"/>
          </rPr>
          <t xml:space="preserve">teorie, ozdrojovaný obsah, diferenciace dle role</t>
        </r>
      </text>
    </comment>
    <comment ref="B17" authorId="0">
      <text>
        <r>
          <rPr>
            <sz val="10"/>
            <rFont val="Arial"/>
            <family val="2"/>
          </rPr>
          <t xml:space="preserve">číslo</t>
        </r>
      </text>
    </comment>
    <comment ref="B18" authorId="0">
      <text>
        <r>
          <rPr>
            <sz val="10"/>
            <rFont val="Arial"/>
            <family val="2"/>
          </rPr>
          <t xml:space="preserve">kód formátu (např. FMT-MCQ) — viz list CIS_Formaty</t>
        </r>
      </text>
    </comment>
    <comment ref="B19" authorId="0">
      <text>
        <r>
          <rPr>
            <sz val="10"/>
            <rFont val="Arial"/>
            <family val="2"/>
          </rPr>
          <t xml:space="preserve">přesné znění otázek nebo instrukce</t>
        </r>
      </text>
    </comment>
    <comment ref="B22" authorId="0">
      <text>
        <r>
          <rPr>
            <sz val="10"/>
            <rFont val="Arial"/>
            <family val="2"/>
          </rPr>
          <t xml:space="preserve">číslo</t>
        </r>
      </text>
    </comment>
    <comment ref="B23" authorId="0">
      <text>
        <r>
          <rPr>
            <sz val="10"/>
            <rFont val="Arial"/>
            <family val="2"/>
          </rPr>
          <t xml:space="preserve">kód formátu (např. FMT-MCQ) — viz list CIS_Formaty</t>
        </r>
      </text>
    </comment>
    <comment ref="B24" authorId="0">
      <text>
        <r>
          <rPr>
            <sz val="10"/>
            <rFont val="Arial"/>
            <family val="2"/>
          </rPr>
          <t xml:space="preserve">přesné znění otázek nebo instrukce</t>
        </r>
      </text>
    </comment>
    <comment ref="B27" authorId="0">
      <text>
        <r>
          <rPr>
            <sz val="10"/>
            <rFont val="Arial"/>
            <family val="2"/>
          </rPr>
          <t xml:space="preserve">číslo</t>
        </r>
      </text>
    </comment>
    <comment ref="B28" authorId="0">
      <text>
        <r>
          <rPr>
            <sz val="10"/>
            <rFont val="Arial"/>
            <family val="2"/>
          </rPr>
          <t xml:space="preserve">dílčí úsek finálního artefaktu — konkrétní výstup</t>
        </r>
      </text>
    </comment>
    <comment ref="B31" authorId="0">
      <text>
        <r>
          <rPr>
            <sz val="10"/>
            <rFont val="Arial"/>
            <family val="2"/>
          </rPr>
          <t xml:space="preserve">např. NP-03, NP-04, NP-18 — oddělené čárkou</t>
        </r>
      </text>
    </comment>
    <comment ref="B32" authorId="0">
      <text>
        <r>
          <rPr>
            <sz val="10"/>
            <rFont val="Arial"/>
            <family val="2"/>
          </rPr>
          <t xml:space="preserve">např. F2: NP-04 — zadání je záměrně obtížnější, než lze zvládnout s AI samotnou</t>
        </r>
      </text>
    </comment>
    <comment ref="B35" authorId="0">
      <text>
        <r>
          <rPr>
            <sz val="10"/>
            <rFont val="Arial"/>
            <family val="2"/>
          </rPr>
          <t xml:space="preserve">kód formátu z CIS_Formaty</t>
        </r>
      </text>
    </comment>
    <comment ref="B36" authorId="0">
      <text>
        <r>
          <rPr>
            <sz val="10"/>
            <rFont val="Arial"/>
            <family val="2"/>
          </rPr>
          <t xml:space="preserve">přesné znění nebo instrukce</t>
        </r>
      </text>
    </comment>
    <comment ref="B37" authorId="0">
      <text>
        <r>
          <rPr>
            <sz val="10"/>
            <rFont val="Arial"/>
            <family val="2"/>
          </rPr>
          <t xml:space="preserve">AI / Lektor / Garant / Uživatel (sebehodnocení) / Kombinace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název modulu</t>
        </r>
      </text>
    </comment>
    <comment ref="B5" authorId="0">
      <text>
        <r>
          <rPr>
            <sz val="10"/>
            <rFont val="Arial"/>
            <family val="2"/>
          </rPr>
          <t xml:space="preserve">číslo</t>
        </r>
      </text>
    </comment>
    <comment ref="B6" authorId="0">
      <text>
        <r>
          <rPr>
            <sz val="10"/>
            <rFont val="Arial"/>
            <family val="2"/>
          </rPr>
          <t xml:space="preserve">1 věta nebo otázka, která vtáhne uživatele do tématu — překvapivý výsledek / mýtus / problémová situace / provokativní otázka</t>
        </r>
      </text>
    </comment>
    <comment ref="B7" authorId="0">
      <text>
        <r>
          <rPr>
            <sz val="10"/>
            <rFont val="Arial"/>
            <family val="2"/>
          </rPr>
          <t xml:space="preserve">ID z listu 3_OBJECTIVES, oddělená čárkou</t>
        </r>
      </text>
    </comment>
    <comment ref="B8" authorId="0">
      <text>
        <r>
          <rPr>
            <sz val="10"/>
            <rFont val="Arial"/>
            <family val="2"/>
          </rPr>
          <t xml:space="preserve">ano / ne</t>
        </r>
      </text>
    </comment>
    <comment ref="B9" authorId="0">
      <text>
        <r>
          <rPr>
            <sz val="10"/>
            <rFont val="Arial"/>
            <family val="2"/>
          </rPr>
          <t xml:space="preserve">úroveň Bloom z 2_GOALS + popis, kterou část artefaktu F4 produkuje</t>
        </r>
      </text>
    </comment>
    <comment ref="B10" authorId="0">
      <text>
        <r>
          <rPr>
            <sz val="10"/>
            <rFont val="Arial"/>
            <family val="2"/>
          </rPr>
          <t xml:space="preserve">volitelné — jak se obsah liší dle role (akademik / mentor / student učitelství)</t>
        </r>
      </text>
    </comment>
    <comment ref="B13" authorId="0">
      <text>
        <r>
          <rPr>
            <sz val="10"/>
            <rFont val="Arial"/>
            <family val="2"/>
          </rPr>
          <t xml:space="preserve">max. 5</t>
        </r>
      </text>
    </comment>
    <comment ref="B14" authorId="0">
      <text>
        <r>
          <rPr>
            <sz val="10"/>
            <rFont val="Arial"/>
            <family val="2"/>
          </rPr>
          <t xml:space="preserve">teorie, ozdrojovaný obsah, diferenciace dle role</t>
        </r>
      </text>
    </comment>
    <comment ref="B17" authorId="0">
      <text>
        <r>
          <rPr>
            <sz val="10"/>
            <rFont val="Arial"/>
            <family val="2"/>
          </rPr>
          <t xml:space="preserve">číslo</t>
        </r>
      </text>
    </comment>
    <comment ref="B18" authorId="0">
      <text>
        <r>
          <rPr>
            <sz val="10"/>
            <rFont val="Arial"/>
            <family val="2"/>
          </rPr>
          <t xml:space="preserve">kód formátu (např. FMT-MCQ) — viz list CIS_Formaty</t>
        </r>
      </text>
    </comment>
    <comment ref="B19" authorId="0">
      <text>
        <r>
          <rPr>
            <sz val="10"/>
            <rFont val="Arial"/>
            <family val="2"/>
          </rPr>
          <t xml:space="preserve">přesné znění otázek nebo instrukce</t>
        </r>
      </text>
    </comment>
    <comment ref="B22" authorId="0">
      <text>
        <r>
          <rPr>
            <sz val="10"/>
            <rFont val="Arial"/>
            <family val="2"/>
          </rPr>
          <t xml:space="preserve">číslo</t>
        </r>
      </text>
    </comment>
    <comment ref="B23" authorId="0">
      <text>
        <r>
          <rPr>
            <sz val="10"/>
            <rFont val="Arial"/>
            <family val="2"/>
          </rPr>
          <t xml:space="preserve">kód formátu (např. FMT-MCQ) — viz list CIS_Formaty</t>
        </r>
      </text>
    </comment>
    <comment ref="B24" authorId="0">
      <text>
        <r>
          <rPr>
            <sz val="10"/>
            <rFont val="Arial"/>
            <family val="2"/>
          </rPr>
          <t xml:space="preserve">přesné znění otázek nebo instrukce</t>
        </r>
      </text>
    </comment>
    <comment ref="B27" authorId="0">
      <text>
        <r>
          <rPr>
            <sz val="10"/>
            <rFont val="Arial"/>
            <family val="2"/>
          </rPr>
          <t xml:space="preserve">číslo</t>
        </r>
      </text>
    </comment>
    <comment ref="B28" authorId="0">
      <text>
        <r>
          <rPr>
            <sz val="10"/>
            <rFont val="Arial"/>
            <family val="2"/>
          </rPr>
          <t xml:space="preserve">dílčí úsek finálního artefaktu — konkrétní výstup</t>
        </r>
      </text>
    </comment>
    <comment ref="B31" authorId="0">
      <text>
        <r>
          <rPr>
            <sz val="10"/>
            <rFont val="Arial"/>
            <family val="2"/>
          </rPr>
          <t xml:space="preserve">např. NP-03, NP-04, NP-18 — oddělené čárkou</t>
        </r>
      </text>
    </comment>
    <comment ref="B32" authorId="0">
      <text>
        <r>
          <rPr>
            <sz val="10"/>
            <rFont val="Arial"/>
            <family val="2"/>
          </rPr>
          <t xml:space="preserve">např. F2: NP-04 — zadání je záměrně obtížnější, než lze zvládnout s AI samotnou</t>
        </r>
      </text>
    </comment>
    <comment ref="B35" authorId="0">
      <text>
        <r>
          <rPr>
            <sz val="10"/>
            <rFont val="Arial"/>
            <family val="2"/>
          </rPr>
          <t xml:space="preserve">kód formátu z CIS_Formaty</t>
        </r>
      </text>
    </comment>
    <comment ref="B36" authorId="0">
      <text>
        <r>
          <rPr>
            <sz val="10"/>
            <rFont val="Arial"/>
            <family val="2"/>
          </rPr>
          <t xml:space="preserve">přesné znění nebo instrukce</t>
        </r>
      </text>
    </comment>
    <comment ref="B37" authorId="0">
      <text>
        <r>
          <rPr>
            <sz val="10"/>
            <rFont val="Arial"/>
            <family val="2"/>
          </rPr>
          <t xml:space="preserve">AI / Lektor / Garant / Uživatel (sebehodnocení) / Kombinace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název modulu</t>
        </r>
      </text>
    </comment>
    <comment ref="B5" authorId="0">
      <text>
        <r>
          <rPr>
            <sz val="10"/>
            <rFont val="Arial"/>
            <family val="2"/>
          </rPr>
          <t xml:space="preserve">číslo</t>
        </r>
      </text>
    </comment>
    <comment ref="B6" authorId="0">
      <text>
        <r>
          <rPr>
            <sz val="10"/>
            <rFont val="Arial"/>
            <family val="2"/>
          </rPr>
          <t xml:space="preserve">1 věta nebo otázka, která vtáhne uživatele do tématu — překvapivý výsledek / mýtus / problémová situace / provokativní otázka</t>
        </r>
      </text>
    </comment>
    <comment ref="B7" authorId="0">
      <text>
        <r>
          <rPr>
            <sz val="10"/>
            <rFont val="Arial"/>
            <family val="2"/>
          </rPr>
          <t xml:space="preserve">ID z listu 3_OBJECTIVES, oddělená čárkou</t>
        </r>
      </text>
    </comment>
    <comment ref="B8" authorId="0">
      <text>
        <r>
          <rPr>
            <sz val="10"/>
            <rFont val="Arial"/>
            <family val="2"/>
          </rPr>
          <t xml:space="preserve">ano / ne</t>
        </r>
      </text>
    </comment>
    <comment ref="B9" authorId="0">
      <text>
        <r>
          <rPr>
            <sz val="10"/>
            <rFont val="Arial"/>
            <family val="2"/>
          </rPr>
          <t xml:space="preserve">úroveň Bloom z 2_GOALS + popis, kterou část artefaktu F4 produkuje</t>
        </r>
      </text>
    </comment>
    <comment ref="B10" authorId="0">
      <text>
        <r>
          <rPr>
            <sz val="10"/>
            <rFont val="Arial"/>
            <family val="2"/>
          </rPr>
          <t xml:space="preserve">volitelné — jak se obsah liší dle role (akademik / mentor / student učitelství)</t>
        </r>
      </text>
    </comment>
    <comment ref="B13" authorId="0">
      <text>
        <r>
          <rPr>
            <sz val="10"/>
            <rFont val="Arial"/>
            <family val="2"/>
          </rPr>
          <t xml:space="preserve">max. 5</t>
        </r>
      </text>
    </comment>
    <comment ref="B14" authorId="0">
      <text>
        <r>
          <rPr>
            <sz val="10"/>
            <rFont val="Arial"/>
            <family val="2"/>
          </rPr>
          <t xml:space="preserve">teorie, ozdrojovaný obsah, diferenciace dle role</t>
        </r>
      </text>
    </comment>
    <comment ref="B17" authorId="0">
      <text>
        <r>
          <rPr>
            <sz val="10"/>
            <rFont val="Arial"/>
            <family val="2"/>
          </rPr>
          <t xml:space="preserve">číslo</t>
        </r>
      </text>
    </comment>
    <comment ref="B18" authorId="0">
      <text>
        <r>
          <rPr>
            <sz val="10"/>
            <rFont val="Arial"/>
            <family val="2"/>
          </rPr>
          <t xml:space="preserve">kód formátu (např. FMT-MCQ) — viz list CIS_Formaty</t>
        </r>
      </text>
    </comment>
    <comment ref="B19" authorId="0">
      <text>
        <r>
          <rPr>
            <sz val="10"/>
            <rFont val="Arial"/>
            <family val="2"/>
          </rPr>
          <t xml:space="preserve">přesné znění otázek nebo instrukce</t>
        </r>
      </text>
    </comment>
    <comment ref="B22" authorId="0">
      <text>
        <r>
          <rPr>
            <sz val="10"/>
            <rFont val="Arial"/>
            <family val="2"/>
          </rPr>
          <t xml:space="preserve">číslo</t>
        </r>
      </text>
    </comment>
    <comment ref="B23" authorId="0">
      <text>
        <r>
          <rPr>
            <sz val="10"/>
            <rFont val="Arial"/>
            <family val="2"/>
          </rPr>
          <t xml:space="preserve">kód formátu (např. FMT-MCQ) — viz list CIS_Formaty</t>
        </r>
      </text>
    </comment>
    <comment ref="B24" authorId="0">
      <text>
        <r>
          <rPr>
            <sz val="10"/>
            <rFont val="Arial"/>
            <family val="2"/>
          </rPr>
          <t xml:space="preserve">přesné znění otázek nebo instrukce</t>
        </r>
      </text>
    </comment>
    <comment ref="B27" authorId="0">
      <text>
        <r>
          <rPr>
            <sz val="10"/>
            <rFont val="Arial"/>
            <family val="2"/>
          </rPr>
          <t xml:space="preserve">číslo</t>
        </r>
      </text>
    </comment>
    <comment ref="B28" authorId="0">
      <text>
        <r>
          <rPr>
            <sz val="10"/>
            <rFont val="Arial"/>
            <family val="2"/>
          </rPr>
          <t xml:space="preserve">dílčí úsek finálního artefaktu — konkrétní výstup</t>
        </r>
      </text>
    </comment>
    <comment ref="B31" authorId="0">
      <text>
        <r>
          <rPr>
            <sz val="10"/>
            <rFont val="Arial"/>
            <family val="2"/>
          </rPr>
          <t xml:space="preserve">např. NP-03, NP-04, NP-18 — oddělené čárkou</t>
        </r>
      </text>
    </comment>
    <comment ref="B32" authorId="0">
      <text>
        <r>
          <rPr>
            <sz val="10"/>
            <rFont val="Arial"/>
            <family val="2"/>
          </rPr>
          <t xml:space="preserve">např. F2: NP-04 — zadání je záměrně obtížnější, než lze zvládnout s AI samotnou</t>
        </r>
      </text>
    </comment>
    <comment ref="B35" authorId="0">
      <text>
        <r>
          <rPr>
            <sz val="10"/>
            <rFont val="Arial"/>
            <family val="2"/>
          </rPr>
          <t xml:space="preserve">kód formátu z CIS_Formaty</t>
        </r>
      </text>
    </comment>
    <comment ref="B36" authorId="0">
      <text>
        <r>
          <rPr>
            <sz val="10"/>
            <rFont val="Arial"/>
            <family val="2"/>
          </rPr>
          <t xml:space="preserve">přesné znění nebo instrukce</t>
        </r>
      </text>
    </comment>
    <comment ref="B37" authorId="0">
      <text>
        <r>
          <rPr>
            <sz val="10"/>
            <rFont val="Arial"/>
            <family val="2"/>
          </rPr>
          <t xml:space="preserve">AI / Lektor / Garant / Uživatel (sebehodnocení) / Kombinace</t>
        </r>
      </text>
    </comment>
  </commentList>
</comments>
</file>

<file path=xl/comments2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 — vlastní F1–F4 blok / B — pouze finální ověření přes rubriku</t>
        </r>
      </text>
    </comment>
    <comment ref="B5" authorId="0">
      <text>
        <r>
          <rPr>
            <sz val="10"/>
            <rFont val="Arial"/>
            <family val="2"/>
          </rPr>
          <t xml:space="preserve">doplňte název</t>
        </r>
      </text>
    </comment>
    <comment ref="B6" authorId="0">
      <text>
        <r>
          <rPr>
            <sz val="10"/>
            <rFont val="Arial"/>
            <family val="2"/>
          </rPr>
          <t xml:space="preserve">číslo</t>
        </r>
      </text>
    </comment>
    <comment ref="B7" authorId="0">
      <text>
        <r>
          <rPr>
            <sz val="10"/>
            <rFont val="Arial"/>
            <family val="2"/>
          </rPr>
          <t xml:space="preserve">co závěrečný modul obsahuje — reflexe, portfolio, prezentace artefaktu</t>
        </r>
      </text>
    </comment>
    <comment ref="B8" authorId="0">
      <text>
        <r>
          <rPr>
            <sz val="10"/>
            <rFont val="Arial"/>
            <family val="2"/>
          </rPr>
          <t xml:space="preserve">jak propojuje výstupy F4 APLIKACE z modulů 1–5 do finálního artefaktu</t>
        </r>
      </text>
    </comment>
    <comment ref="B11" authorId="0">
      <text>
        <r>
          <rPr>
            <sz val="10"/>
            <rFont val="Arial"/>
            <family val="2"/>
          </rPr>
          <t xml:space="preserve">krátký výklad nebo žádný</t>
        </r>
      </text>
    </comment>
    <comment ref="B12" authorId="0">
      <text>
        <r>
          <rPr>
            <sz val="10"/>
            <rFont val="Arial"/>
            <family val="2"/>
          </rPr>
          <t xml:space="preserve">praktická aktivita, příprava na finální výstup</t>
        </r>
      </text>
    </comment>
    <comment ref="B13" authorId="0">
      <text>
        <r>
          <rPr>
            <sz val="10"/>
            <rFont val="Arial"/>
            <family val="2"/>
          </rPr>
          <t xml:space="preserve">checkpoint</t>
        </r>
      </text>
    </comment>
    <comment ref="B14" authorId="0">
      <text>
        <r>
          <rPr>
            <sz val="10"/>
            <rFont val="Arial"/>
            <family val="2"/>
          </rPr>
          <t xml:space="preserve">skladba finální podoby artefaktu z F4 modulů 1–5</t>
        </r>
      </text>
    </comment>
  </commentList>
</comments>
</file>

<file path=xl/sharedStrings.xml><?xml version="1.0" encoding="utf-8"?>
<sst xmlns="http://schemas.openxmlformats.org/spreadsheetml/2006/main" count="896" uniqueCount="652">
  <si>
    <t xml:space="preserve">PRAKTIK-AI  |  Matrice kurzu v6.0  |  Návod pro metodika</t>
  </si>
  <si>
    <t xml:space="preserve">Jak pracovat s touto matricí</t>
  </si>
  <si>
    <t xml:space="preserve">Žluté buňky</t>
  </si>
  <si>
    <t xml:space="preserve">Buňky k vyplnění. Šedá kurzíva = nápověda / příklad — přepište svým obsahem.</t>
  </si>
  <si>
    <t xml:space="preserve">Modré klíče (levé sloupce)</t>
  </si>
  <si>
    <t xml:space="preserve">PEVNÉ identifikátory pro agenta. NEMĚŇTE jejich text — agent je čte jako klíče.</t>
  </si>
  <si>
    <t xml:space="preserve">Zelené listy (CIS_...)</t>
  </si>
  <si>
    <t xml:space="preserve">Číselníky. Read-only referenční data (neurovědní principy, formáty, KRAUU, role, pojmy). NEUPRAVUJTE bez vědomí garanta.</t>
  </si>
  <si>
    <t xml:space="preserve">Dropdowny</t>
  </si>
  <si>
    <t xml:space="preserve">Některé buňky mají rozbalovací seznam (ano/ne, Bloom úrovně, hodnotitel atd.) — použijte volby ze seznamu.</t>
  </si>
  <si>
    <t xml:space="preserve">Odkazování kódy</t>
  </si>
  <si>
    <t xml:space="preserve">Mezi listy odkazujte KÓDY (např. NP-08, FMT-MCQ, 2.4, ROLE-02), ne celým textem. Agent kódy spojuje napříč listy.</t>
  </si>
  <si>
    <t xml:space="preserve">Pořadí vyplňování (doporučené)</t>
  </si>
  <si>
    <t xml:space="preserve">1) Identifikace (list 1) → 2) GOALS → 3) OBJECTIVES → 4) Větvení → 5–7) Principy a kompetence → 8) Vzory → 9) Artefakt → 10) Mediální přílohy → 11) Rubrika → 12) Výzkum → M1–M5, Capstone → 13) Validace.</t>
  </si>
  <si>
    <t xml:space="preserve">Validace před odevzdáním</t>
  </si>
  <si>
    <t xml:space="preserve">Otevřete list 13_Validace. Sloupec Auto zezelená u splněných pravidel sám. Garant ručně potvrdí kvalitativní pravidla (GOAL je formulován správně, rubrika rozlišuje úrovně, vzory dávají smysl, žádný placeholder nezůstal).</t>
  </si>
  <si>
    <t xml:space="preserve">Struktura listů</t>
  </si>
  <si>
    <t xml:space="preserve">Listy 1–13 = data o kurzu (vyplňujete). Listy M1–M5 + Capstone = jednotlivé moduly. Listy CIS_* = číselníky (referenční).</t>
  </si>
  <si>
    <t xml:space="preserve">4 role uživatelů platformy:</t>
  </si>
  <si>
    <t xml:space="preserve">User</t>
  </si>
  <si>
    <t xml:space="preserve">Ten, kdo studuje kurz.</t>
  </si>
  <si>
    <t xml:space="preserve">Lektor</t>
  </si>
  <si>
    <t xml:space="preserve">Kontroluje výsledky studentů, poskytuje lidskou ZV, navrhuje a generuje kurzy.</t>
  </si>
  <si>
    <t xml:space="preserve">Garant</t>
  </si>
  <si>
    <t xml:space="preserve">Navrhuje vlastní kurzy a schvaluje cizí. Schvaluje validační checklist.</t>
  </si>
  <si>
    <t xml:space="preserve">Super admin</t>
  </si>
  <si>
    <t xml:space="preserve">Plný přístup ke všemu.</t>
  </si>
  <si>
    <t xml:space="preserve">PRAKTIK-AI  |  Matrice kurzu v6.0  |  IDENTIFIKACE</t>
  </si>
  <si>
    <t xml:space="preserve">💡 Žluté buňky = vyplňte. Modré klíče = NEMĚŇTE (čte je agent). Pole s rozbalovacím seznamem mají dropdown. Označení jako [NP-08] = kód z číselníku.</t>
  </si>
  <si>
    <t xml:space="preserve">1.1  Identifikátory kurzu</t>
  </si>
  <si>
    <t xml:space="preserve">Interní kód (DB)</t>
  </si>
  <si>
    <t xml:space="preserve">Zobrazovací kód (UI)</t>
  </si>
  <si>
    <t xml:space="preserve">URL slug</t>
  </si>
  <si>
    <t xml:space="preserve">Plný název kurzu (certifikát)</t>
  </si>
  <si>
    <t xml:space="preserve">Řešený problém</t>
  </si>
  <si>
    <t xml:space="preserve">Výstup kurzu (artefakt)</t>
  </si>
  <si>
    <t xml:space="preserve">1.2  Základní parametry</t>
  </si>
  <si>
    <t xml:space="preserve">Blok</t>
  </si>
  <si>
    <t xml:space="preserve">Verze kurzu</t>
  </si>
  <si>
    <t xml:space="preserve">Délka celkem (min)</t>
  </si>
  <si>
    <t xml:space="preserve">Úroveň</t>
  </si>
  <si>
    <t xml:space="preserve">Povinnost</t>
  </si>
  <si>
    <t xml:space="preserve">EQF úroveň</t>
  </si>
  <si>
    <t xml:space="preserve">ECTS (orientační)</t>
  </si>
  <si>
    <t xml:space="preserve">Prerekvizity (kódy)</t>
  </si>
  <si>
    <t xml:space="preserve">Navazující kurzy (kódy)</t>
  </si>
  <si>
    <t xml:space="preserve">1.3  Typ kurzu (lze více, zaškrtněte X)</t>
  </si>
  <si>
    <t xml:space="preserve">Obecný — platí pro všechny obory</t>
  </si>
  <si>
    <t xml:space="preserve">Oborový — specifický pro jeden obor</t>
  </si>
  <si>
    <t xml:space="preserve">Průřezový — přesahuje skupiny C</t>
  </si>
  <si>
    <t xml:space="preserve">Vstupní kurz skupiny (C bloky)</t>
  </si>
  <si>
    <t xml:space="preserve">Specializovaný — pro konkrétní roli</t>
  </si>
  <si>
    <t xml:space="preserve">Volitelné rozšíření</t>
  </si>
  <si>
    <t xml:space="preserve">1.4  Anchor text a informační nota</t>
  </si>
  <si>
    <t xml:space="preserve">Anchor text</t>
  </si>
  <si>
    <t xml:space="preserve">Informační nota</t>
  </si>
  <si>
    <t xml:space="preserve">1.5  Skip — pravidla přeskočení</t>
  </si>
  <si>
    <t xml:space="preserve">Skip povolen?</t>
  </si>
  <si>
    <t xml:space="preserve">Typ skipu</t>
  </si>
  <si>
    <t xml:space="preserve">Práh úspěšnosti (%)</t>
  </si>
  <si>
    <t xml:space="preserve">Při neúspěchu testu</t>
  </si>
  <si>
    <t xml:space="preserve">1.6  Styl psaní a tón kurzu (zaškrtněte X)</t>
  </si>
  <si>
    <t xml:space="preserve">Konverzační — přímé oslovení uživatele (vykání)</t>
  </si>
  <si>
    <t xml:space="preserve">Narativní — situace, příběhy, dialogy z praxe</t>
  </si>
  <si>
    <t xml:space="preserve">Instruktážní — kroky a postupy v imperativu</t>
  </si>
  <si>
    <t xml:space="preserve">Analytický — systematický výklad (vhodné pro F1)</t>
  </si>
  <si>
    <t xml:space="preserve">Doplňující poznámka ke stylu</t>
  </si>
  <si>
    <t xml:space="preserve">Typické rozložení fází (min)</t>
  </si>
  <si>
    <t xml:space="preserve">1.7  Text pro certifikát (shrnutí GOALS)</t>
  </si>
  <si>
    <t xml:space="preserve">Text certifikátu</t>
  </si>
  <si>
    <t xml:space="preserve">2  GOALS — výkonové cíle kurzu</t>
  </si>
  <si>
    <t xml:space="preserve">💡 GOALS = co absolvent kurzu prokazatelně zvládá. Sloveso 3. os. sg. + objekt + podmínka. Každý zaškrtnutý GOAL musí být zastoupen alespoň jednou fází modulu. Viz list 'CIS_Bloom' pro slovesa.</t>
  </si>
  <si>
    <t xml:space="preserve">✓</t>
  </si>
  <si>
    <t xml:space="preserve">Bloom úroveň</t>
  </si>
  <si>
    <t xml:space="preserve">Popis GOAL</t>
  </si>
  <si>
    <t xml:space="preserve">Pokryto v modulech</t>
  </si>
  <si>
    <t xml:space="preserve">1 — Zapamatovat</t>
  </si>
  <si>
    <t xml:space="preserve">2 — Porozumět</t>
  </si>
  <si>
    <t xml:space="preserve">3 — Aplikovat</t>
  </si>
  <si>
    <t xml:space="preserve">4 — Analyzovat</t>
  </si>
  <si>
    <t xml:space="preserve">5 — Hodnotit</t>
  </si>
  <si>
    <t xml:space="preserve">6 — Tvořit</t>
  </si>
  <si>
    <t xml:space="preserve">3  OBJECTIVES — cíle modulů</t>
  </si>
  <si>
    <t xml:space="preserve">💡 Každý OBJECTIVE = měřitelné chování (sloveso 3. os. sg. + objekt + podmínka). ID musí být UNIKÁTNÍ v rámci celého kurikula PRAKTIK-AI. Modul má 1–3 OBJECTIVES. Vazba na GOAL = úroveň Bloom z listu 2_GOALS.</t>
  </si>
  <si>
    <t xml:space="preserve">ID</t>
  </si>
  <si>
    <t xml:space="preserve">Text OBJECTIVE</t>
  </si>
  <si>
    <t xml:space="preserve">Typ</t>
  </si>
  <si>
    <t xml:space="preserve">Testovatelný?</t>
  </si>
  <si>
    <t xml:space="preserve">Modul č.</t>
  </si>
  <si>
    <t xml:space="preserve">Vazba na GOAL (Bloom úroveň)</t>
  </si>
  <si>
    <t xml:space="preserve">4  Větvení dle profilu uživatele</t>
  </si>
  <si>
    <t xml:space="preserve">💡 Vyplňte, pokud se obsah kurzu výrazně liší dle role. Per-modul větvení specifikujte v listech modulů (pole 'Větvení dle profilu').</t>
  </si>
  <si>
    <t xml:space="preserve">Akademik</t>
  </si>
  <si>
    <t xml:space="preserve">Mentor / uvádějící učitel</t>
  </si>
  <si>
    <t xml:space="preserve">Student učitelství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</si>
  <si>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</si>
  <si>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</si>
  <si>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</si>
  <si>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</si>
  <si>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</si>
  <si>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Capstone</t>
  </si>
  <si>
    <t xml:space="preserve">5  Neurovědní principy — globální výběr pro kurz</t>
  </si>
  <si>
    <t xml:space="preserve">💡 Zaškrtněte (X) principy integrované v kurzu jako celku. Kompletní seznam s definicemi viz list 'CIS_Neuroveda'. Implementaci v konkrétním modulu uveďte v listu daného modulu.</t>
  </si>
  <si>
    <t xml:space="preserve">Kód</t>
  </si>
  <si>
    <t xml:space="preserve">Princip (CZ / EN)</t>
  </si>
  <si>
    <t xml:space="preserve">Stručně</t>
  </si>
  <si>
    <t xml:space="preserve">NP-01</t>
  </si>
  <si>
    <t xml:space="preserve">Neuroplasticita / Neuroplasticity</t>
  </si>
  <si>
    <t xml:space="preserve">Mozek mění synapse podle zkušenosti — opakování přepisuje strukturu sítí.</t>
  </si>
  <si>
    <t xml:space="preserve">NP-02</t>
  </si>
  <si>
    <t xml:space="preserve">Distribuované opakování / Spaced Repetition</t>
  </si>
  <si>
    <t xml:space="preserve">Rozložené učení trvá déle než nárazové.</t>
  </si>
  <si>
    <t xml:space="preserve">NP-03</t>
  </si>
  <si>
    <t xml:space="preserve">Aktivní vybavování / Active Recall</t>
  </si>
  <si>
    <t xml:space="preserve">Vědomé vybavení posiluje paměť silněji než pasivní čtení.</t>
  </si>
  <si>
    <t xml:space="preserve">NP-04</t>
  </si>
  <si>
    <t xml:space="preserve">Žádoucí obtíže / Desirable Difficulties</t>
  </si>
  <si>
    <t xml:space="preserve">Mírná obtížnost prohlubuje zpracování a transfer.</t>
  </si>
  <si>
    <t xml:space="preserve">NP-05</t>
  </si>
  <si>
    <t xml:space="preserve">Prokládání / Interleaving</t>
  </si>
  <si>
    <t xml:space="preserve">Střídání úloh podporuje rozlišování konceptů a generalizaci.</t>
  </si>
  <si>
    <t xml:space="preserve">NP-06</t>
  </si>
  <si>
    <t xml:space="preserve">Duální kódování / Dual Coding</t>
  </si>
  <si>
    <t xml:space="preserve">Text + vizuál = dvě paměťové stopy, lepší zapamatování.</t>
  </si>
  <si>
    <t xml:space="preserve">NP-07</t>
  </si>
  <si>
    <t xml:space="preserve">Kognitivní zátěž / Cognitive Load Theory</t>
  </si>
  <si>
    <t xml:space="preserve">Pracovní paměť ~4±1 prvků; přetížení blokuje učení.</t>
  </si>
  <si>
    <t xml:space="preserve">NP-08</t>
  </si>
  <si>
    <t xml:space="preserve">Elaborativní kódování / Elaborative Encoding</t>
  </si>
  <si>
    <t xml:space="preserve">Propojení s existujícími znalostmi tvoří hustou síť asociací.</t>
  </si>
  <si>
    <t xml:space="preserve">NP-09</t>
  </si>
  <si>
    <t xml:space="preserve">Efekt generování / Generation Effect</t>
  </si>
  <si>
    <t xml:space="preserve">Sám vytvořená informace se pamatuje lépe než přijatá.</t>
  </si>
  <si>
    <t xml:space="preserve">NP-10</t>
  </si>
  <si>
    <t xml:space="preserve">Testovací efekt / Testing Effect</t>
  </si>
  <si>
    <t xml:space="preserve">Testování samo o sobě konsoliduje dlouhodobou paměť.</t>
  </si>
  <si>
    <t xml:space="preserve">NP-11</t>
  </si>
  <si>
    <t xml:space="preserve">Predikční chyba / Reward Prediction Error</t>
  </si>
  <si>
    <t xml:space="preserve">Překvapení (pozit. i negat.) řídí dopaminové učení.</t>
  </si>
  <si>
    <t xml:space="preserve">NP-12</t>
  </si>
  <si>
    <t xml:space="preserve">Konsolidace ve spánku / Sleep-Dependent Consolidation</t>
  </si>
  <si>
    <t xml:space="preserve">Spánek přepisuje paměť z hipokampu do neokortexu.</t>
  </si>
  <si>
    <t xml:space="preserve">NP-13</t>
  </si>
  <si>
    <t xml:space="preserve">Pozornost a pracovní paměť / Attention &amp; Working Memory</t>
  </si>
  <si>
    <t xml:space="preserve">Bez selektivní pozornosti nedochází ke kódování.</t>
  </si>
  <si>
    <t xml:space="preserve">NP-14</t>
  </si>
  <si>
    <t xml:space="preserve">Slučování do bloků / Chunking</t>
  </si>
  <si>
    <t xml:space="preserve">Sdružování info do bloků zvyšuje efektivní kapacitu paměti.</t>
  </si>
  <si>
    <t xml:space="preserve">NP-15</t>
  </si>
  <si>
    <t xml:space="preserve">Metakognice / Metacognition</t>
  </si>
  <si>
    <t xml:space="preserve">Přemýšlení o vlastním myšlení; sledování porozumění.</t>
  </si>
  <si>
    <t xml:space="preserve">NP-16</t>
  </si>
  <si>
    <t xml:space="preserve">Zrcadlové neurony / Mirror Neurons</t>
  </si>
  <si>
    <t xml:space="preserve">Pozorování postupu aktivuje stejné okruhy jako provádění.</t>
  </si>
  <si>
    <t xml:space="preserve">NP-17</t>
  </si>
  <si>
    <t xml:space="preserve">Stav plynutí / Flow State</t>
  </si>
  <si>
    <t xml:space="preserve">Optimální poměr výzvy a dovednosti maximalizuje učení.</t>
  </si>
  <si>
    <t xml:space="preserve">NP-18</t>
  </si>
  <si>
    <t xml:space="preserve">Okamžitá zpětná vazba / Immediate Feedback</t>
  </si>
  <si>
    <t xml:space="preserve">Rychlá konkrétní ZV opraví chybu před zafixováním.</t>
  </si>
  <si>
    <t xml:space="preserve">NP-19</t>
  </si>
  <si>
    <t xml:space="preserve">Vtělené poznávání / Embodied Cognition</t>
  </si>
  <si>
    <t xml:space="preserve">Tělesné zapojení posiluje kognitivní zpracování.</t>
  </si>
  <si>
    <t xml:space="preserve">NP-20</t>
  </si>
  <si>
    <t xml:space="preserve">Schémata / Schema Theory</t>
  </si>
  <si>
    <t xml:space="preserve">Nové info se ukládá snáz, lze-li připojit ke schématu.</t>
  </si>
  <si>
    <t xml:space="preserve">6  AI principy kurzu</t>
  </si>
  <si>
    <t xml:space="preserve">💡 Zaškrtněte (X) přístupy k AI, které kurz aktivně využívá nebo rozvíjí.</t>
  </si>
  <si>
    <t xml:space="preserve">AI jako partner v dialogu</t>
  </si>
  <si>
    <t xml:space="preserve">AI jako scaffold (podpora, ne náhrada)</t>
  </si>
  <si>
    <t xml:space="preserve">AI jako hodnotitel výstupu</t>
  </si>
  <si>
    <t xml:space="preserve">AI pro generování variant a alternativ</t>
  </si>
  <si>
    <t xml:space="preserve">AI pro personalizaci obsahu</t>
  </si>
  <si>
    <t xml:space="preserve">AI pro zpětnou vazbu v reálném čase</t>
  </si>
  <si>
    <t xml:space="preserve">Kritické hodnocení AI výstupů</t>
  </si>
  <si>
    <t xml:space="preserve">Prompt engineering jako dovednost</t>
  </si>
  <si>
    <t xml:space="preserve">Rozpoznání halucinací a ověřování</t>
  </si>
  <si>
    <t xml:space="preserve">Multimodalita (text + obraz + zvuk)</t>
  </si>
  <si>
    <t xml:space="preserve">Sokratovský dialog s AI</t>
  </si>
  <si>
    <t xml:space="preserve">AI jako zrcadlo pro reflexi</t>
  </si>
  <si>
    <t xml:space="preserve">7  KRAUU — kompetence pokryté kurzem</t>
  </si>
  <si>
    <t xml:space="preserve">💡 Zaškrtněte (X) kompetence KRAUU, k jejichž rozvoji kurz přispívá. Mapování je interní — uživateli se nezobrazuje. Cílí primárně na Úroveň 1 (absolvent/ka). Kompletní seznam s popisy viz list 'CIS_KRAUU'.</t>
  </si>
  <si>
    <t xml:space="preserve">Kompetence</t>
  </si>
  <si>
    <t xml:space="preserve">1.1</t>
  </si>
  <si>
    <t xml:space="preserve">Rozumí vyučovaným oborům a dále se v nich rozvíjí</t>
  </si>
  <si>
    <t xml:space="preserve">1.2</t>
  </si>
  <si>
    <t xml:space="preserve">Didakticky zprostředkovává obsah žákům</t>
  </si>
  <si>
    <t xml:space="preserve">2.1</t>
  </si>
  <si>
    <t xml:space="preserve">Nastavuje cíle výuky</t>
  </si>
  <si>
    <t xml:space="preserve">2.2</t>
  </si>
  <si>
    <t xml:space="preserve">Poznává vzdělávací potřeby a plánuje výuku</t>
  </si>
  <si>
    <t xml:space="preserve">2.3</t>
  </si>
  <si>
    <t xml:space="preserve">Podporuje zvídavost a motivaci žáků</t>
  </si>
  <si>
    <t xml:space="preserve">2.4</t>
  </si>
  <si>
    <t xml:space="preserve">Efektivně vede výuku a zjišťuje porozumění</t>
  </si>
  <si>
    <t xml:space="preserve">2.5</t>
  </si>
  <si>
    <t xml:space="preserve">Reflektuje výuku</t>
  </si>
  <si>
    <t xml:space="preserve">3.1</t>
  </si>
  <si>
    <t xml:space="preserve">Vytváří bezpečné prostředí pro učení</t>
  </si>
  <si>
    <t xml:space="preserve">3.2</t>
  </si>
  <si>
    <t xml:space="preserve">Vede žáky k chování podporujícímu učení</t>
  </si>
  <si>
    <t xml:space="preserve">3.3</t>
  </si>
  <si>
    <t xml:space="preserve">Uspořádání fyzického a digitálního prostředí</t>
  </si>
  <si>
    <t xml:space="preserve">4.1</t>
  </si>
  <si>
    <t xml:space="preserve">Hodnotí na základě kritérií</t>
  </si>
  <si>
    <t xml:space="preserve">4.2</t>
  </si>
  <si>
    <t xml:space="preserve">Poskytuje a přijímá zpětnou vazbu</t>
  </si>
  <si>
    <t xml:space="preserve">4.3</t>
  </si>
  <si>
    <t xml:space="preserve">Vede žáky k reflexi jejich učení</t>
  </si>
  <si>
    <t xml:space="preserve">5.1</t>
  </si>
  <si>
    <t xml:space="preserve">Spolupracuje s kolegy a kolegyněmi</t>
  </si>
  <si>
    <t xml:space="preserve">5.2</t>
  </si>
  <si>
    <t xml:space="preserve">Spolupracuje s rodiči a širší komunitou školy</t>
  </si>
  <si>
    <t xml:space="preserve">6.1</t>
  </si>
  <si>
    <t xml:space="preserve">Utváření profesního sebepojetí a rozvoj</t>
  </si>
  <si>
    <t xml:space="preserve">6.2</t>
  </si>
  <si>
    <t xml:space="preserve">Odpovědná práce s informacemi a demokratické hodnoty</t>
  </si>
  <si>
    <t xml:space="preserve">6.3</t>
  </si>
  <si>
    <t xml:space="preserve">Duševní zdraví a psychohygiena</t>
  </si>
  <si>
    <t xml:space="preserve">8  Vzory a antipatterns pro agenta</t>
  </si>
  <si>
    <t xml:space="preserve">💡 Pravidla pro agenta. Typ = MUSÍ (pozitivní vzor) / NESMÍ (antipattern). Sloupec 'Kde' = globálně pro celý kurz, nebo číslo modulu.</t>
  </si>
  <si>
    <t xml:space="preserve">Pravidlo (co agent MUSÍ/NESMÍ)</t>
  </si>
  <si>
    <t xml:space="preserve">Zdůvodnění (1–2 věty)</t>
  </si>
  <si>
    <t xml:space="preserve">Kde (modul / globálně)</t>
  </si>
  <si>
    <t xml:space="preserve">9  Finální artefakt kurzu</t>
  </si>
  <si>
    <t xml:space="preserve">💡 ARTEFAKT je budován postupně přes F4 APLIKACE každého modulu. Badge je vázán na splnění finálního ověření (práh 75 %) + odevzdání artefaktu.</t>
  </si>
  <si>
    <t xml:space="preserve">9.1  Definice artefaktu</t>
  </si>
  <si>
    <t xml:space="preserve">Typ artefaktu</t>
  </si>
  <si>
    <t xml:space="preserve">Co musí artefakt obsahovat</t>
  </si>
  <si>
    <t xml:space="preserve">Co artefakt nesmí obsahovat</t>
  </si>
  <si>
    <t xml:space="preserve">Primární formát pro odevzdání</t>
  </si>
  <si>
    <t xml:space="preserve">Vstupuje do databáze scénářů?</t>
  </si>
  <si>
    <t xml:space="preserve">Podmínka vydání badge</t>
  </si>
  <si>
    <t xml:space="preserve">Patří k mikrocertifikátu</t>
  </si>
  <si>
    <t xml:space="preserve">9.2  Šablona artefaktu — povinné sekce</t>
  </si>
  <si>
    <t xml:space="preserve">💡 Pokud má artefakt pevnou strukturu, popište povinné sekce. Agent předá uživateli jako pracovní dokument.</t>
  </si>
  <si>
    <t xml:space="preserve">#</t>
  </si>
  <si>
    <t xml:space="preserve">Sekce artefaktu</t>
  </si>
  <si>
    <t xml:space="preserve">Co sekce obsahuje</t>
  </si>
  <si>
    <t xml:space="preserve">Povinná?</t>
  </si>
  <si>
    <t xml:space="preserve">10  Mediální přílohy — grafika a audio</t>
  </si>
  <si>
    <t xml:space="preserve">⚠ Pojmenování souborů: [KOD_KURZU]-[MODUL]-[TYP]-[popis].[přípona]. Příklady: A1-M2-audio-uvod.mp3 | A1-M1-grafika-tokenizace.png. Podporované formáty: PNG, SVG, MP3. Video zatím není podporováno.</t>
  </si>
  <si>
    <t xml:space="preserve">Název souboru</t>
  </si>
  <si>
    <t xml:space="preserve">Pozice v modulu (fáze)</t>
  </si>
  <si>
    <t xml:space="preserve">Alt text / popis</t>
  </si>
  <si>
    <t xml:space="preserve">Zdroj / licence</t>
  </si>
  <si>
    <t xml:space="preserve">Schválil</t>
  </si>
  <si>
    <t xml:space="preserve">11  Rubrika hodnocení (finální ověření)</t>
  </si>
  <si>
    <t xml:space="preserve">💡 Rubrika hodnotí FINÁLNÍ artefakt kurzu. Max. 5 kritérií × 5 úrovní. Mapování na badge: Začátek 0–20 % | Rozvoj 21–40 % | Způsobilost 41–60 % | Zdatnost 61–80 % | Mistrovství 81–100 %. Práh pro badge = 75 % (horní polovina pásma Zdatnosti). ⚠ Názvy úrovní jsou závazné — neměňte je.</t>
  </si>
  <si>
    <t xml:space="preserve">11.1  Nastavení rubriky</t>
  </si>
  <si>
    <t xml:space="preserve">Typ rubriky</t>
  </si>
  <si>
    <t xml:space="preserve">Hodnotitel</t>
  </si>
  <si>
    <t xml:space="preserve">Práh pro badge (%)</t>
  </si>
  <si>
    <t xml:space="preserve">11.2  Tabulka 5 × 5 — kritéria a úrovně výkonu</t>
  </si>
  <si>
    <t xml:space="preserve">Kritérium hodnocení</t>
  </si>
  <si>
    <t xml:space="preserve">Mistrovství 81–100 %</t>
  </si>
  <si>
    <t xml:space="preserve">Zdatnost 61–80 %</t>
  </si>
  <si>
    <t xml:space="preserve">Způsobilost 41–60 %</t>
  </si>
  <si>
    <t xml:space="preserve">Rozvoj 21–40 %</t>
  </si>
  <si>
    <t xml:space="preserve">Začátek 0–20 %</t>
  </si>
  <si>
    <t xml:space="preserve">Váha kritéria (%)</t>
  </si>
  <si>
    <t xml:space="preserve">Kritérium 1</t>
  </si>
  <si>
    <t xml:space="preserve">Kritérium 2</t>
  </si>
  <si>
    <t xml:space="preserve">Kritérium 3</t>
  </si>
  <si>
    <t xml:space="preserve">Kritérium 4</t>
  </si>
  <si>
    <t xml:space="preserve">Kritérium 5</t>
  </si>
  <si>
    <t xml:space="preserve">11.3  Doporučení navazujícího kurzu (pro routing agenta)</t>
  </si>
  <si>
    <t xml:space="preserve">Scénář</t>
  </si>
  <si>
    <t xml:space="preserve">Doporučení (kód kurzu + zdůvodnění 1 věta)</t>
  </si>
  <si>
    <t xml:space="preserve">Silný výkon (≥ 80 %)</t>
  </si>
  <si>
    <t xml:space="preserve">Slabý výkon (&lt; 60 %)</t>
  </si>
  <si>
    <t xml:space="preserve">Mezera v konkrétní OBJECTIVE (uveďte ID)</t>
  </si>
  <si>
    <t xml:space="preserve">12  Výzkumná poznámka</t>
  </si>
  <si>
    <t xml:space="preserve">💡 Volitelné. Vyplňte, pokud kurz testuje specifickou hypotézu nebo sleduje proměnnou. Tato poznámka jde přímo výzkumnému týmu.</t>
  </si>
  <si>
    <t xml:space="preserve">Výzkumná hypotéza / sledovaná proměnná</t>
  </si>
  <si>
    <t xml:space="preserve">Pre-dotazník před zahájením kurzu</t>
  </si>
  <si>
    <t xml:space="preserve">Post-dotazník po dokončení kurzu</t>
  </si>
  <si>
    <t xml:space="preserve">Reflexivní poznámka uživatele k artefaktu</t>
  </si>
  <si>
    <t xml:space="preserve">13  Validační checklist</t>
  </si>
  <si>
    <t xml:space="preserve">💡 Sloupec 'Auto' = automatická kontrola formátu (vzorec, zezelená/zčervená samo). Sloupec 'Garant' = ruční potvrzení kvality. Před odevzdáním musí být vše OK.</t>
  </si>
  <si>
    <t xml:space="preserve">Kontrolované pravidlo</t>
  </si>
  <si>
    <t xml:space="preserve">Auto (vzorec)</t>
  </si>
  <si>
    <t xml:space="preserve">Garant (ruční)</t>
  </si>
  <si>
    <t xml:space="preserve">Poznámka garanta</t>
  </si>
  <si>
    <t xml:space="preserve">1.1 Interní kód (DB) je vyplněn</t>
  </si>
  <si>
    <t xml:space="preserve">1.1 Interní kód má formát písmeno + 4 číslice (např. A0101)</t>
  </si>
  <si>
    <t xml:space="preserve">1.1 URL slug je vyplněn</t>
  </si>
  <si>
    <t xml:space="preserve">1.1 URL slug neobsahuje mezery</t>
  </si>
  <si>
    <t xml:space="preserve">1.1 Plný název kurzu je vyplněn</t>
  </si>
  <si>
    <t xml:space="preserve">1.1 Řešený problém je vyplněn</t>
  </si>
  <si>
    <t xml:space="preserve">1.2 EQF úroveň je vyplněna</t>
  </si>
  <si>
    <t xml:space="preserve">1.2 Délka celkem (min) je vyplněna</t>
  </si>
  <si>
    <t xml:space="preserve">1.4 Anchor text je vyplněn</t>
  </si>
  <si>
    <t xml:space="preserve">1.4 Informační nota je vyplněna</t>
  </si>
  <si>
    <t xml:space="preserve">1.7 Text certifikátu je vyplněn</t>
  </si>
  <si>
    <t xml:space="preserve">2 Alespoň jeden GOAL má vyplněný popis</t>
  </si>
  <si>
    <t xml:space="preserve">3 Alespoň jeden OBJECTIVE je vyplněn</t>
  </si>
  <si>
    <t xml:space="preserve">3 ID OBJECTIVES jsou unikátní (kontrola duplicit)</t>
  </si>
  <si>
    <t xml:space="preserve">5 Alespoň jeden neurovědní princip je vybrán pro kurz</t>
  </si>
  <si>
    <t xml:space="preserve">6 Alespoň jeden AI princip je vybrán</t>
  </si>
  <si>
    <t xml:space="preserve">7 Alespoň jedna KRAUU kompetence je označena</t>
  </si>
  <si>
    <t xml:space="preserve">8 Alespoň jeden vzor / antipattern je vyplněn</t>
  </si>
  <si>
    <t xml:space="preserve">9 Typ artefaktu je vyplněn</t>
  </si>
  <si>
    <t xml:space="preserve">9 Co artefakt musí obsahovat je vyplněno</t>
  </si>
  <si>
    <t xml:space="preserve">11.1 Hodnotitel rubriky je vybrán</t>
  </si>
  <si>
    <t xml:space="preserve">11.2 Všech 5 kritérií rubriky je popsáno (sloupec Mistrovství)</t>
  </si>
  <si>
    <t xml:space="preserve">11.3 Doporučení pro silný výkon je vyplněno</t>
  </si>
  <si>
    <t xml:space="preserve">11.3 Doporučení pro slabý výkon je vyplněno</t>
  </si>
  <si>
    <t xml:space="preserve">M1 Modul 1 má vyplněný název</t>
  </si>
  <si>
    <t xml:space="preserve">M1 Modul 1 má vyplněný IMPULS</t>
  </si>
  <si>
    <t xml:space="preserve">M2 Modul 2 má vyplněný název</t>
  </si>
  <si>
    <t xml:space="preserve">M3 Modul 3 má vyplněný název</t>
  </si>
  <si>
    <t xml:space="preserve">M4 Modul 4 má vyplněný název</t>
  </si>
  <si>
    <t xml:space="preserve">M5 Modul 5 má vyplněný název</t>
  </si>
  <si>
    <t xml:space="preserve">Capstone má zvolenou variantu (A nebo B)</t>
  </si>
  <si>
    <t xml:space="preserve">KVALITA: GOAL je formulován slovesem 3. os. sg. + objekt + podmínka</t>
  </si>
  <si>
    <t xml:space="preserve">—</t>
  </si>
  <si>
    <t xml:space="preserve">KVALITA: Každý zaškrtnutý GOAL je zastoupen alespoň jednou fází modulu</t>
  </si>
  <si>
    <t xml:space="preserve">KVALITA: Rubrika rozumně rozlišuje úrovně (popis kompetence, ne uživatele)</t>
  </si>
  <si>
    <t xml:space="preserve">KVALITA: Implementace neurovědních principů dává smysl v dané fázi</t>
  </si>
  <si>
    <t xml:space="preserve">KVALITA: IMPULS skutečně 'vtáhne' uživatele do tématu</t>
  </si>
  <si>
    <t xml:space="preserve">KVALITA: Vzory a antipatterns jsou konkrétní a aplikovatelné</t>
  </si>
  <si>
    <t xml:space="preserve">KVALITA: Tučné klíče (pevné identifikátory) nebyly nikde upraveny</t>
  </si>
  <si>
    <t xml:space="preserve">KVALITA: Žádný placeholder typu 'doplňte' nezůstal v matrici</t>
  </si>
  <si>
    <t xml:space="preserve">SOUHRN</t>
  </si>
  <si>
    <t xml:space="preserve">Automatické kontroly OK</t>
  </si>
  <si>
    <t xml:space="preserve">MODUL 1</t>
  </si>
  <si>
    <t xml:space="preserve">💡 OBJECTIVES (ID) odkazují na list 3_OBJECTIVES. Neurovědní princip = kód NP-XX z listu CIS_Neuroveda. Formát F2/F3 = kód FMT-XX z listu CIS_Formaty. F1 PREZENTACE max. 5 min. F4 APLIKACE nelze přeskočit.</t>
  </si>
  <si>
    <t xml:space="preserve">Název modulu</t>
  </si>
  <si>
    <t xml:space="preserve">Délka modulu (min)</t>
  </si>
  <si>
    <t xml:space="preserve">IMPULS</t>
  </si>
  <si>
    <t xml:space="preserve">OBJECTIVES (ID)</t>
  </si>
  <si>
    <t xml:space="preserve">Vazba na GOALS</t>
  </si>
  <si>
    <t xml:space="preserve">Větvení dle profilu</t>
  </si>
  <si>
    <t xml:space="preserve">F1  PREZENTACE  (max. 5 min, začíná IMPULSEM)</t>
  </si>
  <si>
    <t xml:space="preserve">Délka F1 (min)</t>
  </si>
  <si>
    <t xml:space="preserve">F1 — Obsah výkladu</t>
  </si>
  <si>
    <t xml:space="preserve">F2  PROCVIČENÍ</t>
  </si>
  <si>
    <t xml:space="preserve">Délka F2 (min)</t>
  </si>
  <si>
    <t xml:space="preserve">F2 — Formát interakce</t>
  </si>
  <si>
    <t xml:space="preserve">F2 — Konkrétní znění / instrukce pro agenta</t>
  </si>
  <si>
    <t xml:space="preserve">F3  OVĚŘENÍ</t>
  </si>
  <si>
    <t xml:space="preserve">Délka F3 (min)</t>
  </si>
  <si>
    <t xml:space="preserve">F3 — Formát interakce</t>
  </si>
  <si>
    <t xml:space="preserve">F3 — Konkrétní znění / instrukce pro agenta</t>
  </si>
  <si>
    <t xml:space="preserve">F4  APLIKACE  (nelze přeskočit)</t>
  </si>
  <si>
    <t xml:space="preserve">Délka F4 (min)</t>
  </si>
  <si>
    <t xml:space="preserve">F4 — Co uživatel vytvoří</t>
  </si>
  <si>
    <t xml:space="preserve">Neurovědní principy v modulu</t>
  </si>
  <si>
    <t xml:space="preserve">Kódy principů (z CIS_Neuroveda)</t>
  </si>
  <si>
    <t xml:space="preserve">Implementace principů (fáze + popis)</t>
  </si>
  <si>
    <t xml:space="preserve">Průběžné hodnocení modulu</t>
  </si>
  <si>
    <t xml:space="preserve">Formát průběžného hodnocení</t>
  </si>
  <si>
    <t xml:space="preserve">Konkrétní znění / instrukce</t>
  </si>
  <si>
    <t xml:space="preserve">MODUL 2</t>
  </si>
  <si>
    <t xml:space="preserve">MODUL 3</t>
  </si>
  <si>
    <t xml:space="preserve">MODUL 4</t>
  </si>
  <si>
    <t xml:space="preserve">MODUL 5</t>
  </si>
  <si>
    <t xml:space="preserve">CAPSTONE / Závěrečný modul</t>
  </si>
  <si>
    <t xml:space="preserve">💡 Volba autora: (A) Vlastní F1–F4 blok (zjednodušený), nebo (B) Pouze finální ověření přes rubriku. Capstone propojuje výstupy F4 APLIKACE z modulů 1–5 do finálního artefaktu.</t>
  </si>
  <si>
    <t xml:space="preserve">Varianta capstone</t>
  </si>
  <si>
    <t xml:space="preserve">Název závěrečného modulu</t>
  </si>
  <si>
    <t xml:space="preserve">Délka (min)</t>
  </si>
  <si>
    <t xml:space="preserve">Obsah</t>
  </si>
  <si>
    <t xml:space="preserve">Vazba na artefakt</t>
  </si>
  <si>
    <t xml:space="preserve">Varianta A — zjednodušený F1–F4 blok (vyplňte pouze pokud Varianta = A)</t>
  </si>
  <si>
    <t xml:space="preserve">F2 — Aktivita</t>
  </si>
  <si>
    <t xml:space="preserve">F3 — Ověření</t>
  </si>
  <si>
    <t xml:space="preserve">F4 — Finální artefakt</t>
  </si>
  <si>
    <t xml:space="preserve">ČÍSELNÍK  |  Neurovědní principy učení (20)</t>
  </si>
  <si>
    <t xml:space="preserve">📘 Referenční číselník — read-only pro agenta i metodika. Odkazujte na principy kódem (NP-XX) v listech modulů. NEMĚŇTE názvy ani kódy.</t>
  </si>
  <si>
    <t xml:space="preserve">Princip (CZ)</t>
  </si>
  <si>
    <t xml:space="preserve">Princip (EN)</t>
  </si>
  <si>
    <t xml:space="preserve">Stručný popis</t>
  </si>
  <si>
    <t xml:space="preserve">Příklad využití při učení s AI</t>
  </si>
  <si>
    <t xml:space="preserve">Neuroplasticita</t>
  </si>
  <si>
    <t xml:space="preserve">Neuroplasticity</t>
  </si>
  <si>
    <t xml:space="preserve">Schopnost mozku přetvářet synaptické spoje na základě zkušenosti; opakované učení doslova mění strukturu nervových sítí.</t>
  </si>
  <si>
    <t xml:space="preserve">Pravidelné dialogy s AI nad jedním tématem (např. denní debata o ML konceptech) postupně utvářejí stabilní expertní okruhy.</t>
  </si>
  <si>
    <t xml:space="preserve">Distribuované opakování</t>
  </si>
  <si>
    <t xml:space="preserve">Spaced Repetition</t>
  </si>
  <si>
    <t xml:space="preserve">Učení rozložené v čase vede k trvalejšímu zapamatování než nárazové studium díky opakovanému přepisování paměťové stopy.</t>
  </si>
  <si>
    <t xml:space="preserve">AI plánuje Anki-styl připomínky (1 den, 3 dny, 7 dní, 21 dní) na klíčové pojmy z předchozí konverzace.</t>
  </si>
  <si>
    <t xml:space="preserve">Aktivní vybavování</t>
  </si>
  <si>
    <t xml:space="preserve">Active Recall / Retrieval Practice</t>
  </si>
  <si>
    <t xml:space="preserve">Vědomé vybavování informace z paměti posiluje paměťovou stopu výrazně více než pasivní opětovné čtení.</t>
  </si>
  <si>
    <t xml:space="preserve">AI nevykládá rovnou odpověď, ale vede uživatele sokratovskými otázkami: „Co si myslíš, že se stane, když…?</t>
  </si>
  <si>
    <t xml:space="preserve">Žádoucí obtíže</t>
  </si>
  <si>
    <t xml:space="preserve">Desirable Difficulties</t>
  </si>
  <si>
    <t xml:space="preserve">Mírná obtížnost a kognitivní zápas při učení (Bjork) prohlubují zpracování a vedou k lepšímu transferu znalostí.</t>
  </si>
  <si>
    <t xml:space="preserve">AI postupně zvyšuje náročnost úloh, místo aby okamžitě poskytla zjednodušené řešení.</t>
  </si>
  <si>
    <t xml:space="preserve">Prokládání</t>
  </si>
  <si>
    <t xml:space="preserve">Interleaving</t>
  </si>
  <si>
    <t xml:space="preserve">Střídání různých typů úloh v rámci jednoho cvičení podporuje rozlišování konceptů a generalizaci.</t>
  </si>
  <si>
    <t xml:space="preserve">AI při procvičování matematiky míchá derivace, integrály a limity místo blokového řešení jednoho typu.</t>
  </si>
  <si>
    <t xml:space="preserve">Duální kódování</t>
  </si>
  <si>
    <t xml:space="preserve">Dual Coding</t>
  </si>
  <si>
    <t xml:space="preserve">Kombinace verbální a vizuální reprezentace (Paivio) vytváří dvě paměťové stopy a zlepšuje zapamatování.</t>
  </si>
  <si>
    <t xml:space="preserve">AI doplní textové vysvětlení diagramem, schématem nebo ASCII vizualizací procesu.</t>
  </si>
  <si>
    <t xml:space="preserve">Kognitivní zátěž</t>
  </si>
  <si>
    <t xml:space="preserve">Cognitive Load Theory</t>
  </si>
  <si>
    <t xml:space="preserve">Pracovní paměť má kapacitu cca 4±1 prvků; přetížení blokuje učení. Je třeba rozdělit obsah na zvládnutelné kroky.</t>
  </si>
  <si>
    <t xml:space="preserve">AI rozloží komplexní úlohu (např. návrh API) do dílčích kroků a neřeší vše naráz.</t>
  </si>
  <si>
    <t xml:space="preserve">Elaborativní kódování</t>
  </si>
  <si>
    <t xml:space="preserve">Elaborative Encoding</t>
  </si>
  <si>
    <t xml:space="preserve">Propojení nové informace s již existujícími znalostmi tvoří hustší síť asociací a usnadňuje budoucí vybavení.</t>
  </si>
  <si>
    <t xml:space="preserve">AI se ptá: „K čemu z toho, co už znáš, by se to dalo přirovnat?“ a buduje analogie.</t>
  </si>
  <si>
    <t xml:space="preserve">Efekt generování</t>
  </si>
  <si>
    <t xml:space="preserve">Generation Effect</t>
  </si>
  <si>
    <t xml:space="preserve">Informace, kterou si člověk sám vytvoří či odvodí, se pamatuje lépe než pasivně přijatá.</t>
  </si>
  <si>
    <t xml:space="preserve">AI vyzve uživatele k prvnímu pokusu o řešení, teprve pak komentuje a opraví.</t>
  </si>
  <si>
    <t xml:space="preserve">Testovací efekt</t>
  </si>
  <si>
    <t xml:space="preserve">Testing Effect</t>
  </si>
  <si>
    <t xml:space="preserve">Samotné testování (nikoli jen studium) je silným nástrojem konsolidace dlouhodobé paměti.</t>
  </si>
  <si>
    <t xml:space="preserve">AI po každé lekci generuje krátký kvíz nebo praktickou úlohu k ověření porozumění.</t>
  </si>
  <si>
    <t xml:space="preserve">Predikční chyba</t>
  </si>
  <si>
    <t xml:space="preserve">Reward Prediction Error</t>
  </si>
  <si>
    <t xml:space="preserve">Dopaminový systém reaguje na rozdíl mezi očekáváním a realitou; překvapení (pozitivní i negativní) řídí učení (Schultz).</t>
  </si>
  <si>
    <t xml:space="preserve">AI nechá uživatele hádat výsledek experimentu před jeho odhalením — překvapení posílí zapamatování.</t>
  </si>
  <si>
    <t xml:space="preserve">Konsolidace ve spánku</t>
  </si>
  <si>
    <t xml:space="preserve">Sleep-Dependent Consolidation</t>
  </si>
  <si>
    <t xml:space="preserve">Během NREM a REM spánku se přepisují paměťové stopy z hipokampu do neokortexu; spánek je nedílnou součástí učení.</t>
  </si>
  <si>
    <t xml:space="preserve">AI doporučí naučit se klíčové pojmy večer a otestovat je ráno; plánuje opakování přes noční pauzu.</t>
  </si>
  <si>
    <t xml:space="preserve">Pozornost a pracovní paměť</t>
  </si>
  <si>
    <t xml:space="preserve">Attention &amp; Working Memory</t>
  </si>
  <si>
    <t xml:space="preserve">Bez selektivní pozornosti nedochází ke kódování. Pracovní paměť (prefrontální kůra) je úzkým hrdlem učení.</t>
  </si>
  <si>
    <t xml:space="preserve">AI navrhne 25minutové zaměřené bloky (Pomodoro) bez paralelního multitaskingu.</t>
  </si>
  <si>
    <t xml:space="preserve">Slučování do bloků (chunking)</t>
  </si>
  <si>
    <t xml:space="preserve">Chunking</t>
  </si>
  <si>
    <t xml:space="preserve">Sdružování dílčích informací do smysluplných bloků zvyšuje efektivní kapacitu pracovní paměti (Miller).</t>
  </si>
  <si>
    <t xml:space="preserve">AI pomůže vytvořit mnemotechnické zkratky či vzorce, kterými se nahradí dlouhé seznamy detailů.</t>
  </si>
  <si>
    <t xml:space="preserve">Metakognice</t>
  </si>
  <si>
    <t xml:space="preserve">Metacognition</t>
  </si>
  <si>
    <t xml:space="preserve">Schopnost přemýšlet o vlastním myšlení a sledovat porozumění; zásadní pro samostatné a hluboké učení.</t>
  </si>
  <si>
    <t xml:space="preserve">AI se průběžně ptá: „Na škále 1–5, jak jistě tomu rozumíš? Co je nejasné?“</t>
  </si>
  <si>
    <t xml:space="preserve">Zrcadlové neurony / observační učení</t>
  </si>
  <si>
    <t xml:space="preserve">Mirror Neurons / Observational Learning</t>
  </si>
  <si>
    <t xml:space="preserve">Pozorování postupu druhého aktivuje stejné okruhy jako jeho vlastní provádění; učení nápodobou.</t>
  </si>
  <si>
    <t xml:space="preserve">AI demonstruje řešení formou „myslím nahlas“ (chain-of-thought), který může uživatel napodobit.</t>
  </si>
  <si>
    <t xml:space="preserve">Stav plynutí (flow)</t>
  </si>
  <si>
    <t xml:space="preserve">Flow State</t>
  </si>
  <si>
    <t xml:space="preserve">Optimální poměr mezi výzvou a dovedností (Csíkszentmihályi) maximalizuje zapojení a učení.</t>
  </si>
  <si>
    <t xml:space="preserve">AI dynamicky kalibruje obtížnost úloh podle úspěšnosti uživatele, aby udržela engagement.</t>
  </si>
  <si>
    <t xml:space="preserve">Okamžitá zpětná vazba</t>
  </si>
  <si>
    <t xml:space="preserve">Immediate Feedback Loops</t>
  </si>
  <si>
    <t xml:space="preserve">Rychlá a konkrétní zpětná vazba umožňuje opravit chybu dřív, než se zafixuje, a využívá dopaminové učení.</t>
  </si>
  <si>
    <t xml:space="preserve">AI hned po odpovědi vysvětlí, proč je správná/chybná, a navrhne konkrétní opravu.</t>
  </si>
  <si>
    <t xml:space="preserve">Vtělené poznávání</t>
  </si>
  <si>
    <t xml:space="preserve">Embodied Cognition</t>
  </si>
  <si>
    <t xml:space="preserve">Tělesné zapojení (gesta, řeč nahlas, kreslení) posiluje kognitivní zpracování a zapamatování.</t>
  </si>
  <si>
    <t xml:space="preserve">AI vybízí uživatele, aby vysvětlil problém vlastními slovy nahlas nebo si jej načrtl na papír.</t>
  </si>
  <si>
    <t xml:space="preserve">Schémata</t>
  </si>
  <si>
    <t xml:space="preserve">Schema Theory</t>
  </si>
  <si>
    <t xml:space="preserve">Znalosti jsou v paměti organizovány do schémat; nové informace se snáze ukládají, lze-li je připojit k existujícímu schématu.</t>
  </si>
  <si>
    <t xml:space="preserve">AI pomáhá tvořit pojmové mapy a hierarchie, do nichž se postupně doplňují další detaily.</t>
  </si>
  <si>
    <t xml:space="preserve">ČÍSELNÍK  |  Formáty interakce F2/F3 a finální ověření (13)</t>
  </si>
  <si>
    <t xml:space="preserve">📘 Referenční číselník — read-only. Odkazujte na formáty kódem (FMT-XX) v listech modulů. Rubrika a Artefakt jsou určeny POUZE pro finální ověření.</t>
  </si>
  <si>
    <t xml:space="preserve">Kategorie</t>
  </si>
  <si>
    <t xml:space="preserve">Název formátu</t>
  </si>
  <si>
    <t xml:space="preserve">Popis</t>
  </si>
  <si>
    <t xml:space="preserve">Role AI</t>
  </si>
  <si>
    <t xml:space="preserve">Náročnost IT</t>
  </si>
  <si>
    <t xml:space="preserve">FMT-MCQ</t>
  </si>
  <si>
    <t xml:space="preserve">Uzavřený</t>
  </si>
  <si>
    <t xml:space="preserve">Multiple choice</t>
  </si>
  <si>
    <t xml:space="preserve">Výběr z možností; testuje faktografii a porozumění konceptům.</t>
  </si>
  <si>
    <t xml:space="preserve">Generátor + hodnotitel</t>
  </si>
  <si>
    <t xml:space="preserve">Nízká</t>
  </si>
  <si>
    <t xml:space="preserve">FMT-TF</t>
  </si>
  <si>
    <t xml:space="preserve">True / false</t>
  </si>
  <si>
    <t xml:space="preserve">Pravda / nepravda; rychlé ověření klíčových tvrzení.</t>
  </si>
  <si>
    <t xml:space="preserve">FMT-MTC</t>
  </si>
  <si>
    <t xml:space="preserve">Matching</t>
  </si>
  <si>
    <t xml:space="preserve">Párování pojmů s definicemi nebo příklady.</t>
  </si>
  <si>
    <t xml:space="preserve">FMT-SA</t>
  </si>
  <si>
    <t xml:space="preserve">Short answer</t>
  </si>
  <si>
    <t xml:space="preserve">Krátká otevřená odpověď; testuje porozumění vlastními slovy.</t>
  </si>
  <si>
    <t xml:space="preserve">Hodnotitel odpovědi</t>
  </si>
  <si>
    <t xml:space="preserve">FMT-SOK</t>
  </si>
  <si>
    <t xml:space="preserve">Dialogický</t>
  </si>
  <si>
    <t xml:space="preserve">AI vede uživatele otázkami k vlastnímu závěru; nevyřkne odpověď přímo.</t>
  </si>
  <si>
    <t xml:space="preserve">Partner v dialogu</t>
  </si>
  <si>
    <t xml:space="preserve">Střední</t>
  </si>
  <si>
    <t xml:space="preserve">FMT-OTA</t>
  </si>
  <si>
    <t xml:space="preserve">Tvorba otázek k tématu</t>
  </si>
  <si>
    <t xml:space="preserve">Uživatel formuluje 3 otázky k tématu; AI posoudí přesnost a hloubku.</t>
  </si>
  <si>
    <t xml:space="preserve">Posuzovatel formulace</t>
  </si>
  <si>
    <t xml:space="preserve">FMT-PRO</t>
  </si>
  <si>
    <t xml:space="preserve">Protiargument</t>
  </si>
  <si>
    <t xml:space="preserve">Uživatel vytvoří protiargument k tvrzení; AI reaguje a rozvíjí diskusi.</t>
  </si>
  <si>
    <t xml:space="preserve">Diskutér</t>
  </si>
  <si>
    <t xml:space="preserve">FMT-REF</t>
  </si>
  <si>
    <t xml:space="preserve">Reflexe přinesené práce</t>
  </si>
  <si>
    <t xml:space="preserve">Uživatel přinese vlastní výstup; AI klade reflektivní otázky. Pouze F2/F3 nebo průběžné — ne finální ověření.</t>
  </si>
  <si>
    <t xml:space="preserve">Diskutér nad prací</t>
  </si>
  <si>
    <t xml:space="preserve">FMT-VLA</t>
  </si>
  <si>
    <t xml:space="preserve">Vlastní formulace před AI verzí</t>
  </si>
  <si>
    <t xml:space="preserve">Uživatel nejprve vytvoří vlastní verzi, pak vidí AI/vzor a porovná.</t>
  </si>
  <si>
    <t xml:space="preserve">Konzultant, ne arbitr</t>
  </si>
  <si>
    <t xml:space="preserve">FMT-MIK</t>
  </si>
  <si>
    <t xml:space="preserve">Komplexní</t>
  </si>
  <si>
    <t xml:space="preserve">Mikroartefakt</t>
  </si>
  <si>
    <t xml:space="preserve">Krátký tvůrčí výstup (věta, definice, mikroscénář). AI navrhne zlepšení, uživatel rozhodne.</t>
  </si>
  <si>
    <t xml:space="preserve">FMT-RUB</t>
  </si>
  <si>
    <t xml:space="preserve">Komplexní (finální)</t>
  </si>
  <si>
    <t xml:space="preserve">Rubrika</t>
  </si>
  <si>
    <t xml:space="preserve">Vícekriteriální hodnocení; sebehodnocení / AI / lektor / garant / kombinace — volba autora kurzu.</t>
  </si>
  <si>
    <t xml:space="preserve">Posuzovatel podle kritérií</t>
  </si>
  <si>
    <t xml:space="preserve">FMT-ART</t>
  </si>
  <si>
    <t xml:space="preserve">Artefakt</t>
  </si>
  <si>
    <t xml:space="preserve">Komplexní produkt skládaný postupně přes F4 aplikace modulů; partner v tvorbě + hodnotitel finální podoby.</t>
  </si>
  <si>
    <t xml:space="preserve">Partner + hodnotitel</t>
  </si>
  <si>
    <t xml:space="preserve">Vyšší</t>
  </si>
  <si>
    <t xml:space="preserve">FMT-JIN</t>
  </si>
  <si>
    <t xml:space="preserve">Otevřený</t>
  </si>
  <si>
    <t xml:space="preserve">Jiné</t>
  </si>
  <si>
    <t xml:space="preserve">Volný formát mimo katalog. Popište přesně v poli 'Konkrétní znění / instrukce'.</t>
  </si>
  <si>
    <t xml:space="preserve">Dle popisu</t>
  </si>
  <si>
    <t xml:space="preserve">ČÍSELNÍK  |  KRAUU — Kompetenční rámec absolventa učitelství (MŠMT 2023)</t>
  </si>
  <si>
    <t xml:space="preserve">📘 Referenční číselník — read-only. 18 kompetencí v 6 oblastech. Pokrytí cílí primárně na Úroveň 1 (absolvent/ka). Interní mapování — uživateli se nezobrazuje.</t>
  </si>
  <si>
    <t xml:space="preserve">Oblast</t>
  </si>
  <si>
    <t xml:space="preserve">1 Obsah a didaktika</t>
  </si>
  <si>
    <t xml:space="preserve">Učitel/ka rozumí oborům, které vyučuje, a systematicky se v nich rozvíjí.</t>
  </si>
  <si>
    <t xml:space="preserve">Zprostředkovává obsah žákům v souladu s jejich vzdělávacími potřebami.</t>
  </si>
  <si>
    <t xml:space="preserve">2 Plánování, vedení a reflexe výuky</t>
  </si>
  <si>
    <t xml:space="preserve">Stanovuje srozumitelné cíle a vede k jejich nastavování i žáky a žákyně.</t>
  </si>
  <si>
    <t xml:space="preserve">Plánuje výuku tak, aby každý žák mohl aktivně dosahovat stanovených cílů.</t>
  </si>
  <si>
    <t xml:space="preserve">Podporuje u žáků zvídavost a motivaci k učení.</t>
  </si>
  <si>
    <t xml:space="preserve">Vede výuku efektivně, zjišťuje porozumění a reaguje na potřeby žáků.</t>
  </si>
  <si>
    <t xml:space="preserve">Reflektuje vlastní výuku a vyhodnocuje dosahování cílů.</t>
  </si>
  <si>
    <t xml:space="preserve">3 Prostředí pro učení</t>
  </si>
  <si>
    <t xml:space="preserve">Vytváří fyzicky i psychicky bezpečné prostředí pro učení.</t>
  </si>
  <si>
    <t xml:space="preserve">Vede žáky k chování podporujícímu vlastní učení i spolupráci.</t>
  </si>
  <si>
    <t xml:space="preserve">Zajišťuje vhodné uspořádání fyzického a digitálního prostředí učení.</t>
  </si>
  <si>
    <t xml:space="preserve">4 Zpětná vazba a hodnocení</t>
  </si>
  <si>
    <t xml:space="preserve">Hodnotí žáky na základě jasných kritérií a vede k tomu i žáky.</t>
  </si>
  <si>
    <t xml:space="preserve">Poskytuje žákům konstruktivní zpětnou vazbu a sám přijímá ZV od žáků.</t>
  </si>
  <si>
    <t xml:space="preserve">Vede žáky k reflexi vlastního učení a samostatné metakognici.</t>
  </si>
  <si>
    <t xml:space="preserve">5 Profesní spolupráce</t>
  </si>
  <si>
    <t xml:space="preserve">Spolupracuje s kolegy ve prospěch žáků a společného profesního růstu.</t>
  </si>
  <si>
    <t xml:space="preserve">Spolupracuje s rodiči a širší komunitou v zájmu žáků.</t>
  </si>
  <si>
    <t xml:space="preserve">6 Profesní sebepojetí, rozvoj, etika a duševní zdraví</t>
  </si>
  <si>
    <t xml:space="preserve">Systematicky pracuje na utváření profesního sebepojetí a vlastním rozvoji.</t>
  </si>
  <si>
    <t xml:space="preserve">Odpovědně pracuje s informacemi a digitálními nástroji, vede k etice.</t>
  </si>
  <si>
    <t xml:space="preserve">Systematicky pečuje o své duševní zdraví a psychohygienu.</t>
  </si>
  <si>
    <t xml:space="preserve">ČÍSELNÍK  |  Bloomova taxonomie</t>
  </si>
  <si>
    <t xml:space="preserve">📘 Slovesa pro formulaci GOALS a OBJECTIVES. Používejte 3. osobu singuláru.</t>
  </si>
  <si>
    <t xml:space="preserve">Název</t>
  </si>
  <si>
    <t xml:space="preserve">Typická slovesa pro GOALS a OBJECTIVES</t>
  </si>
  <si>
    <t xml:space="preserve">Zapamatovat</t>
  </si>
  <si>
    <t xml:space="preserve">vyjmenuje, popíše, identifikuje, rozpozná, zopakuje</t>
  </si>
  <si>
    <t xml:space="preserve">Porozumět</t>
  </si>
  <si>
    <t xml:space="preserve">vysvětlí, shrne, klasifikuje, interpretuje, přeloží</t>
  </si>
  <si>
    <t xml:space="preserve">Aplikovat</t>
  </si>
  <si>
    <t xml:space="preserve">použije, provede, řeší, demonstruje, implementuje</t>
  </si>
  <si>
    <t xml:space="preserve">Analyzovat</t>
  </si>
  <si>
    <t xml:space="preserve">porovná, rozliší, zhodnotí strukturu, rozloží, prozkoumá</t>
  </si>
  <si>
    <t xml:space="preserve">Hodnotit</t>
  </si>
  <si>
    <t xml:space="preserve">posoudí, obhájí, kriticky zhodnotí, doporučí, zdůvodní</t>
  </si>
  <si>
    <t xml:space="preserve">6</t>
  </si>
  <si>
    <t xml:space="preserve">Tvořit</t>
  </si>
  <si>
    <t xml:space="preserve">navrhne, sestaví, vytvoří, zkonstruuje, naplánuje</t>
  </si>
  <si>
    <t xml:space="preserve">ČÍSELNÍK  |  Role uživatelů platformy PRAKTIK-AI</t>
  </si>
  <si>
    <t xml:space="preserve">📘 Závazná terminologie pro popisování rolí v matricích a v agentových instrukcích.</t>
  </si>
  <si>
    <t xml:space="preserve">Role</t>
  </si>
  <si>
    <t xml:space="preserve">Oprávnění</t>
  </si>
  <si>
    <t xml:space="preserve">ROLE-01</t>
  </si>
  <si>
    <t xml:space="preserve">User (student)</t>
  </si>
  <si>
    <t xml:space="preserve">Studuje kurz, odevzdává artefakt</t>
  </si>
  <si>
    <t xml:space="preserve">Ten, kdo studuje. Prochází kurz, plní fáze F1–F4, odevzdává finální artefakt, sbírá badge.</t>
  </si>
  <si>
    <t xml:space="preserve">ROLE-02</t>
  </si>
  <si>
    <t xml:space="preserve">Kontroluje výsledky, poskytuje lidskou ZV, navrhuje a generuje kurzy</t>
  </si>
  <si>
    <t xml:space="preserve">Může kontrolovat výsledky studentů, poskytovat lidskou zpětnou vazbu, navrhovat a generovat kurzy. Neschvaluje kurzy ostatních.</t>
  </si>
  <si>
    <t xml:space="preserve">ROLE-03</t>
  </si>
  <si>
    <t xml:space="preserve">Navrhuje + schvaluje vlastní i cizí kurzy, ručí za kvalitu</t>
  </si>
  <si>
    <t xml:space="preserve">Může navrhovat své kurzy a schvalovat cizí kurzy. Hodnotí kvalitativní část validačního checklistu před nahráním matrice na platformu.</t>
  </si>
  <si>
    <t xml:space="preserve">ROLE-04</t>
  </si>
  <si>
    <t xml:space="preserve">Plný přístup ke všemu</t>
  </si>
  <si>
    <t xml:space="preserve">Má přístup ke všem kurzům, uživatelům, číselníkům a systémovým nastavením platformy.</t>
  </si>
  <si>
    <t xml:space="preserve">ČÍSELNÍK  |  Pojmy a zkratky</t>
  </si>
  <si>
    <t xml:space="preserve">📘 Referenční přehled systémových termínů a zkratek používaných v matrici a na platformě.</t>
  </si>
  <si>
    <t xml:space="preserve">Systémové termíny PRAKTIK-AI</t>
  </si>
  <si>
    <t xml:space="preserve">Termín</t>
  </si>
  <si>
    <t xml:space="preserve">Co znamená</t>
  </si>
  <si>
    <t xml:space="preserve">Kde v matrici / na platformě</t>
  </si>
  <si>
    <t xml:space="preserve">MATRICE</t>
  </si>
  <si>
    <t xml:space="preserve">Tento dokument — specifikace kurzu vyplňovaná metodikem. Vstup pro agenta-tvůrce. Není viditelná pro uživatele platformy.</t>
  </si>
  <si>
    <t xml:space="preserve">celý soubor</t>
  </si>
  <si>
    <t xml:space="preserve">GOALS</t>
  </si>
  <si>
    <t xml:space="preserve">Výkonové cíle celého kurzu formulované dle Bloomovy taxonomie. Co absolvent po kurzu zvládá.</t>
  </si>
  <si>
    <t xml:space="preserve">list 2_GOALS</t>
  </si>
  <si>
    <t xml:space="preserve">OBJECTIVES</t>
  </si>
  <si>
    <t xml:space="preserve">Dílčí výkonové cíle konkrétního modulu. Přispívají k naplnění GOALS. Modul má 1–3 OBJECTIVES.</t>
  </si>
  <si>
    <t xml:space="preserve">list 3_OBJECTIVES, listy M1–M5</t>
  </si>
  <si>
    <t xml:space="preserve">ARTEFAKT</t>
  </si>
  <si>
    <t xml:space="preserve">Konkrétní produkt, který účastník odevzdá na konci kurzu. Budován postupně přes F4 APLIKACE každého modulu.</t>
  </si>
  <si>
    <t xml:space="preserve">list 9_Artefakt</t>
  </si>
  <si>
    <t xml:space="preserve">SKIP-TEST</t>
  </si>
  <si>
    <t xml:space="preserve">Volitelný vstupní test modulu. Pokud účastník uspěje (≥ 80 %), modul přeskočí. Pouze deklarativní znalosti.</t>
  </si>
  <si>
    <t xml:space="preserve">list 1_Identifikace (1.5), listy M1–M5</t>
  </si>
  <si>
    <t xml:space="preserve">Úvodní věta nebo otázka, která vtáhne účastníka do tématu na začátku F1 PREZENTACE.</t>
  </si>
  <si>
    <t xml:space="preserve">listy M1–M5</t>
  </si>
  <si>
    <t xml:space="preserve">KRAUU</t>
  </si>
  <si>
    <t xml:space="preserve">Kompetenční rámec absolventa a absolventky učitelství (MŠMT, 2023). Interní mapování — nezobrazuje se uživateli.</t>
  </si>
  <si>
    <t xml:space="preserve">list 7_KRAUU_kurz, CIS_KRAUU</t>
  </si>
  <si>
    <t xml:space="preserve">BADGE</t>
  </si>
  <si>
    <t xml:space="preserve">Digitální odznak vydaný po splnění finálního ověření ≥ 75 %. Open Badges 3.0 / Europass kompatibilní.</t>
  </si>
  <si>
    <t xml:space="preserve">list 9_Artefakt, 11_Rubrika</t>
  </si>
  <si>
    <t xml:space="preserve">RUBRIKA</t>
  </si>
  <si>
    <t xml:space="preserve">Vícekriteriální hodnoticí nástroj v sekci 11. Nastavuje tvůrce kurzu. Hodnotitel: User / Lektor / Garant / AI / Kombinace.</t>
  </si>
  <si>
    <t xml:space="preserve">list 11_Rubrika</t>
  </si>
  <si>
    <t xml:space="preserve">CAPSTONE</t>
  </si>
  <si>
    <t xml:space="preserve">Závěrečný modul kurzu. Volba autora: (A) vlastní F1–F4 blok zjednodušený, nebo (B) pouze finální ověření přes rubriku.</t>
  </si>
  <si>
    <t xml:space="preserve">list Capstone</t>
  </si>
  <si>
    <t xml:space="preserve">Fáze modulu (F1–F4)</t>
  </si>
  <si>
    <t xml:space="preserve">Zkratka</t>
  </si>
  <si>
    <t xml:space="preserve">Plný název</t>
  </si>
  <si>
    <t xml:space="preserve">Co se v této fázi děje</t>
  </si>
  <si>
    <t xml:space="preserve">F1</t>
  </si>
  <si>
    <t xml:space="preserve">PREZENTACE</t>
  </si>
  <si>
    <t xml:space="preserve">Výklad — teorie, ozdrojovaný obsah, diferenciace dle role. Maximálně 5 minut z délky modulu. Začíná IMPULSEM.</t>
  </si>
  <si>
    <t xml:space="preserve">F2</t>
  </si>
  <si>
    <t xml:space="preserve">PROCVIČENÍ</t>
  </si>
  <si>
    <t xml:space="preserve">Praktická aktivita, dílna nebo interaktivní cvičení. Účastník si ověřuje nové znalosti v bezpečném prostředí.</t>
  </si>
  <si>
    <t xml:space="preserve">F3</t>
  </si>
  <si>
    <t xml:space="preserve">OVĚŘENÍ</t>
  </si>
  <si>
    <t xml:space="preserve">Test nebo checkpoint — verifikuje pochopení OBJECTIVES daného modulu. Podklad pro SKIP-TEST.</t>
  </si>
  <si>
    <t xml:space="preserve">F4</t>
  </si>
  <si>
    <t xml:space="preserve">APLIKACE</t>
  </si>
  <si>
    <t xml:space="preserve">Tvorba dílčího úseku ARTEFAKTU. Každý modul přidává jednu část finálního výstupu. NELZE PŘESKOČIT.</t>
  </si>
  <si>
    <t xml:space="preserve">Technické zkratky</t>
  </si>
  <si>
    <t xml:space="preserve">Poznámka</t>
  </si>
  <si>
    <t xml:space="preserve">DB</t>
  </si>
  <si>
    <t xml:space="preserve">Databáze — interní systém platformy</t>
  </si>
  <si>
    <t xml:space="preserve">Interní kód (DB) vidí jen backend.</t>
  </si>
  <si>
    <t xml:space="preserve">UI</t>
  </si>
  <si>
    <t xml:space="preserve">Uživatelské rozhraní (User Interface)</t>
  </si>
  <si>
    <t xml:space="preserve">Zobrazovací kód (UI) vidí účastník — platforma, certifikát, portfolio.</t>
  </si>
  <si>
    <t xml:space="preserve">Část webové adresy identifikující kurz</t>
  </si>
  <si>
    <t xml:space="preserve">Bez diakritiky, pomlčky místo mezer. Př. ai-jak-funguje</t>
  </si>
  <si>
    <t xml:space="preserve">EQF</t>
  </si>
  <si>
    <t xml:space="preserve">Evropský rámec kvalifikací (European Qualifications Framework)</t>
  </si>
  <si>
    <t xml:space="preserve">Úrovně 6–8 = vysokoškolské vzdělávání. Vydavatel certifikátů UJEP.</t>
  </si>
  <si>
    <t xml:space="preserve">ECTS</t>
  </si>
  <si>
    <t xml:space="preserve">Evropský kreditní systém (European Credit Transfer System)</t>
  </si>
  <si>
    <t xml:space="preserve">1 ECTS ≈ 25–30 hodin práce.</t>
  </si>
  <si>
    <t xml:space="preserve">PNG / SVG</t>
  </si>
  <si>
    <t xml:space="preserve">Formáty grafických souborů</t>
  </si>
  <si>
    <t xml:space="preserve">PNG = rastrová. SVG = vektorová. Oba podporuje platforma.</t>
  </si>
  <si>
    <t xml:space="preserve">MP3</t>
  </si>
  <si>
    <t xml:space="preserve">Formát zvukového souboru</t>
  </si>
  <si>
    <t xml:space="preserve">Audio nahrávky — např. export z NotebookLM pro účastníky s dyslexií.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</si>
</sst>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3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4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5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6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7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8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9.v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3" customFormat="false" ht="24" hidden="false" customHeight="true" outlineLevel="0" collapsed="false">
      <c r="A3" s="2" t="s">
        <v>1</v>
      </c>
    </row>
    <row r="5" customFormat="false" ht="49.5" hidden="false" customHeight="true" outlineLevel="0" collapsed="false">
      <c r="A5" s="3" t="s">
        <v>2</v>
      </c>
      <c r="B5" s="4" t="s">
        <v>3</v>
      </c>
    </row>
    <row r="6" customFormat="false" ht="49.5" hidden="false" customHeight="true" outlineLevel="0" collapsed="false">
      <c r="A6" s="3" t="s">
        <v>4</v>
      </c>
      <c r="B6" s="4" t="s">
        <v>5</v>
      </c>
    </row>
    <row r="7" customFormat="false" ht="49.5" hidden="false" customHeight="true" outlineLevel="0" collapsed="false">
      <c r="A7" s="3" t="s">
        <v>6</v>
      </c>
      <c r="B7" s="4" t="s">
        <v>7</v>
      </c>
    </row>
    <row r="8" customFormat="false" ht="49.5" hidden="false" customHeight="true" outlineLevel="0" collapsed="false">
      <c r="A8" s="3" t="s">
        <v>8</v>
      </c>
      <c r="B8" s="4" t="s">
        <v>9</v>
      </c>
    </row>
    <row r="9" customFormat="false" ht="49.5" hidden="false" customHeight="true" outlineLevel="0" collapsed="false">
      <c r="A9" s="3" t="s">
        <v>10</v>
      </c>
      <c r="B9" s="4" t="s">
        <v>11</v>
      </c>
    </row>
    <row r="10" customFormat="false" ht="49.5" hidden="false" customHeight="true" outlineLevel="0" collapsed="false">
      <c r="A10" s="3" t="s">
        <v>12</v>
      </c>
      <c r="B10" s="4" t="s">
        <v>13</v>
      </c>
    </row>
    <row r="11" customFormat="false" ht="49.5" hidden="false" customHeight="true" outlineLevel="0" collapsed="false">
      <c r="A11" s="3" t="s">
        <v>14</v>
      </c>
      <c r="B11" s="4" t="s">
        <v>15</v>
      </c>
    </row>
    <row r="12" customFormat="false" ht="49.5" hidden="false" customHeight="true" outlineLevel="0" collapsed="false">
      <c r="A12" s="3" t="s">
        <v>16</v>
      </c>
      <c r="B12" s="4" t="s">
        <v>17</v>
      </c>
    </row>
    <row r="14" customFormat="false" ht="24" hidden="false" customHeight="true" outlineLevel="0" collapsed="false">
      <c r="A14" s="5" t="s">
        <v>18</v>
      </c>
    </row>
    <row r="16" customFormat="false" ht="15" hidden="false" customHeight="false" outlineLevel="0" collapsed="false">
      <c r="A16" s="6" t="s">
        <v>19</v>
      </c>
      <c r="B16" s="7" t="s">
        <v>20</v>
      </c>
    </row>
    <row r="17" customFormat="false" ht="15" hidden="false" customHeight="false" outlineLevel="0" collapsed="false">
      <c r="A17" s="6" t="s">
        <v>21</v>
      </c>
      <c r="B17" s="7" t="s">
        <v>22</v>
      </c>
    </row>
    <row r="18" customFormat="false" ht="15" hidden="false" customHeight="false" outlineLevel="0" collapsed="false">
      <c r="A18" s="6" t="s">
        <v>23</v>
      </c>
      <c r="B18" s="7" t="s">
        <v>24</v>
      </c>
    </row>
    <row r="19" customFormat="false" ht="15" hidden="false" customHeight="false" outlineLevel="0" collapsed="false">
      <c r="A19" s="6" t="s">
        <v>25</v>
      </c>
      <c r="B19" s="7" t="s">
        <v>26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5"/>
    <col collapsed="false" customWidth="true" hidden="false" outlineLevel="0" max="3" min="3" style="0" width="5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1" t="s">
        <v>27</v>
      </c>
      <c r="B1" s="1"/>
      <c r="C1" s="1"/>
      <c r="D1" s="1"/>
    </row>
    <row r="2" customFormat="false" ht="31.5" hidden="false" customHeight="true" outlineLevel="0" collapsed="false">
      <c r="A2" s="8" t="s">
        <v>28</v>
      </c>
      <c r="B2" s="8"/>
      <c r="C2" s="8"/>
      <c r="D2" s="8"/>
    </row>
    <row r="4" customFormat="false" ht="19.5" hidden="false" customHeight="true" outlineLevel="0" collapsed="false">
      <c r="A4" s="9" t="s">
        <v>29</v>
      </c>
      <c r="B4" s="9"/>
      <c r="C4" s="9"/>
      <c r="D4" s="9"/>
    </row>
    <row r="5" customFormat="false" ht="37.5" hidden="false" customHeight="true" outlineLevel="0" collapsed="false">
      <c r="A5" s="3" t="s">
        <v>30</v>
      </c>
      <c r="B5" s="10"/>
      <c r="C5" s="10"/>
      <c r="D5" s="10"/>
    </row>
    <row r="6" customFormat="false" ht="37.5" hidden="false" customHeight="true" outlineLevel="0" collapsed="false">
      <c r="A6" s="3" t="s">
        <v>31</v>
      </c>
      <c r="B6" s="10"/>
      <c r="C6" s="10"/>
      <c r="D6" s="10"/>
    </row>
    <row r="7" customFormat="false" ht="37.5" hidden="false" customHeight="true" outlineLevel="0" collapsed="false">
      <c r="A7" s="3" t="s">
        <v>32</v>
      </c>
      <c r="B7" s="10"/>
      <c r="C7" s="10"/>
      <c r="D7" s="10"/>
    </row>
    <row r="8" customFormat="false" ht="37.5" hidden="false" customHeight="true" outlineLevel="0" collapsed="false">
      <c r="A8" s="3" t="s">
        <v>33</v>
      </c>
      <c r="B8" s="10"/>
      <c r="C8" s="10"/>
      <c r="D8" s="10"/>
    </row>
    <row r="9" customFormat="false" ht="37.5" hidden="false" customHeight="true" outlineLevel="0" collapsed="false">
      <c r="A9" s="3" t="s">
        <v>34</v>
      </c>
      <c r="B9" s="10"/>
      <c r="C9" s="10"/>
      <c r="D9" s="10"/>
    </row>
    <row r="10" customFormat="false" ht="37.5" hidden="false" customHeight="true" outlineLevel="0" collapsed="false">
      <c r="A10" s="3" t="s">
        <v>35</v>
      </c>
      <c r="B10" s="10"/>
      <c r="C10" s="10"/>
      <c r="D10" s="10"/>
    </row>
    <row r="12" customFormat="false" ht="19.5" hidden="false" customHeight="true" outlineLevel="0" collapsed="false">
      <c r="A12" s="9" t="s">
        <v>36</v>
      </c>
      <c r="B12" s="9"/>
      <c r="C12" s="9"/>
      <c r="D12" s="9"/>
    </row>
    <row r="13" customFormat="false" ht="37.5" hidden="false" customHeight="true" outlineLevel="0" collapsed="false">
      <c r="A13" s="3" t="s">
        <v>37</v>
      </c>
      <c r="B13" s="10"/>
      <c r="C13" s="10"/>
      <c r="D13" s="10"/>
    </row>
    <row r="14" customFormat="false" ht="37.5" hidden="false" customHeight="true" outlineLevel="0" collapsed="false">
      <c r="A14" s="3" t="s">
        <v>38</v>
      </c>
      <c r="B14" s="10"/>
      <c r="C14" s="10"/>
      <c r="D14" s="10"/>
    </row>
    <row r="15" customFormat="false" ht="37.5" hidden="false" customHeight="true" outlineLevel="0" collapsed="false">
      <c r="A15" s="3" t="s">
        <v>39</v>
      </c>
      <c r="B15" s="10"/>
      <c r="C15" s="10"/>
      <c r="D15" s="10"/>
    </row>
    <row r="16" customFormat="false" ht="37.5" hidden="false" customHeight="true" outlineLevel="0" collapsed="false">
      <c r="A16" s="3" t="s">
        <v>40</v>
      </c>
      <c r="B16" s="10"/>
      <c r="C16" s="10"/>
      <c r="D16" s="10"/>
    </row>
    <row r="17" customFormat="false" ht="37.5" hidden="false" customHeight="true" outlineLevel="0" collapsed="false">
      <c r="A17" s="3" t="s">
        <v>41</v>
      </c>
      <c r="B17" s="10"/>
      <c r="C17" s="10"/>
      <c r="D17" s="10"/>
    </row>
    <row r="18" customFormat="false" ht="37.5" hidden="false" customHeight="true" outlineLevel="0" collapsed="false">
      <c r="A18" s="3" t="s">
        <v>42</v>
      </c>
      <c r="B18" s="10"/>
      <c r="C18" s="10"/>
      <c r="D18" s="10"/>
    </row>
    <row r="19" customFormat="false" ht="37.5" hidden="false" customHeight="true" outlineLevel="0" collapsed="false">
      <c r="A19" s="3" t="s">
        <v>43</v>
      </c>
      <c r="B19" s="10"/>
      <c r="C19" s="10"/>
      <c r="D19" s="10"/>
    </row>
    <row r="20" customFormat="false" ht="37.5" hidden="false" customHeight="true" outlineLevel="0" collapsed="false">
      <c r="A20" s="3" t="s">
        <v>44</v>
      </c>
      <c r="B20" s="10"/>
      <c r="C20" s="10"/>
      <c r="D20" s="10"/>
    </row>
    <row r="21" customFormat="false" ht="37.5" hidden="false" customHeight="true" outlineLevel="0" collapsed="false">
      <c r="A21" s="3" t="s">
        <v>45</v>
      </c>
      <c r="B21" s="10"/>
      <c r="C21" s="10"/>
      <c r="D21" s="10"/>
    </row>
    <row r="23" customFormat="false" ht="19.5" hidden="false" customHeight="true" outlineLevel="0" collapsed="false">
      <c r="A23" s="9" t="s">
        <v>46</v>
      </c>
      <c r="B23" s="9"/>
      <c r="C23" s="9"/>
      <c r="D23" s="9"/>
    </row>
    <row r="24" customFormat="false" ht="21.75" hidden="false" customHeight="true" outlineLevel="0" collapsed="false">
      <c r="A24" s="11"/>
      <c r="B24" s="3" t="s">
        <v>47</v>
      </c>
      <c r="C24" s="11"/>
      <c r="D24" s="3" t="s">
        <v>48</v>
      </c>
    </row>
    <row r="25" customFormat="false" ht="21.75" hidden="false" customHeight="true" outlineLevel="0" collapsed="false">
      <c r="A25" s="11"/>
      <c r="B25" s="3" t="s">
        <v>49</v>
      </c>
      <c r="C25" s="11"/>
      <c r="D25" s="3" t="s">
        <v>50</v>
      </c>
    </row>
    <row r="26" customFormat="false" ht="21.75" hidden="false" customHeight="true" outlineLevel="0" collapsed="false">
      <c r="A26" s="11"/>
      <c r="B26" s="3" t="s">
        <v>51</v>
      </c>
      <c r="C26" s="11"/>
      <c r="D26" s="3" t="s">
        <v>52</v>
      </c>
    </row>
    <row r="28" customFormat="false" ht="19.5" hidden="false" customHeight="true" outlineLevel="0" collapsed="false">
      <c r="A28" s="9" t="s">
        <v>53</v>
      </c>
      <c r="B28" s="9"/>
      <c r="C28" s="9"/>
      <c r="D28" s="9"/>
    </row>
    <row r="29" customFormat="false" ht="37.5" hidden="false" customHeight="true" outlineLevel="0" collapsed="false">
      <c r="A29" s="3" t="s">
        <v>54</v>
      </c>
      <c r="B29" s="10"/>
      <c r="C29" s="10"/>
      <c r="D29" s="10"/>
    </row>
    <row r="30" customFormat="false" ht="37.5" hidden="false" customHeight="true" outlineLevel="0" collapsed="false">
      <c r="A30" s="3" t="s">
        <v>55</v>
      </c>
      <c r="B30" s="10"/>
      <c r="C30" s="10"/>
      <c r="D30" s="10"/>
    </row>
    <row r="32" customFormat="false" ht="19.5" hidden="false" customHeight="true" outlineLevel="0" collapsed="false">
      <c r="A32" s="9" t="s">
        <v>56</v>
      </c>
      <c r="B32" s="9"/>
      <c r="C32" s="9"/>
      <c r="D32" s="9"/>
    </row>
    <row r="33" customFormat="false" ht="37.5" hidden="false" customHeight="true" outlineLevel="0" collapsed="false">
      <c r="A33" s="3" t="s">
        <v>57</v>
      </c>
      <c r="B33" s="10"/>
      <c r="C33" s="10"/>
      <c r="D33" s="10"/>
    </row>
    <row r="34" customFormat="false" ht="37.5" hidden="false" customHeight="true" outlineLevel="0" collapsed="false">
      <c r="A34" s="3" t="s">
        <v>58</v>
      </c>
      <c r="B34" s="10"/>
      <c r="C34" s="10"/>
      <c r="D34" s="10"/>
    </row>
    <row r="35" customFormat="false" ht="37.5" hidden="false" customHeight="true" outlineLevel="0" collapsed="false">
      <c r="A35" s="3" t="s">
        <v>59</v>
      </c>
      <c r="B35" s="10"/>
      <c r="C35" s="10"/>
      <c r="D35" s="10"/>
    </row>
    <row r="36" customFormat="false" ht="37.5" hidden="false" customHeight="true" outlineLevel="0" collapsed="false">
      <c r="A36" s="3" t="s">
        <v>60</v>
      </c>
      <c r="B36" s="10"/>
      <c r="C36" s="10"/>
      <c r="D36" s="10"/>
    </row>
    <row r="38" customFormat="false" ht="19.5" hidden="false" customHeight="true" outlineLevel="0" collapsed="false">
      <c r="A38" s="9" t="s">
        <v>61</v>
      </c>
      <c r="B38" s="9"/>
      <c r="C38" s="9"/>
      <c r="D38" s="9"/>
    </row>
    <row r="39" customFormat="false" ht="15" hidden="false" customHeight="false" outlineLevel="0" collapsed="false">
      <c r="A39" s="11"/>
      <c r="B39" s="6" t="s">
        <v>62</v>
      </c>
      <c r="C39" s="11"/>
      <c r="D39" s="6" t="s">
        <v>63</v>
      </c>
    </row>
    <row r="40" customFormat="false" ht="15" hidden="false" customHeight="false" outlineLevel="0" collapsed="false">
      <c r="A40" s="11"/>
      <c r="B40" s="6" t="s">
        <v>64</v>
      </c>
      <c r="C40" s="11"/>
      <c r="D40" s="6" t="s">
        <v>65</v>
      </c>
    </row>
    <row r="41" customFormat="false" ht="37.5" hidden="false" customHeight="true" outlineLevel="0" collapsed="false">
      <c r="A41" s="3" t="s">
        <v>66</v>
      </c>
      <c r="B41" s="10"/>
      <c r="C41" s="10"/>
      <c r="D41" s="10"/>
    </row>
    <row r="42" customFormat="false" ht="37.5" hidden="false" customHeight="true" outlineLevel="0" collapsed="false">
      <c r="A42" s="3" t="s">
        <v>67</v>
      </c>
      <c r="B42" s="10"/>
      <c r="C42" s="10"/>
      <c r="D42" s="10"/>
    </row>
    <row r="44" customFormat="false" ht="19.5" hidden="false" customHeight="true" outlineLevel="0" collapsed="false">
      <c r="A44" s="9" t="s">
        <v>68</v>
      </c>
      <c r="B44" s="9"/>
      <c r="C44" s="9"/>
      <c r="D44" s="9"/>
    </row>
    <row r="45" customFormat="false" ht="37.5" hidden="false" customHeight="true" outlineLevel="0" collapsed="false">
      <c r="A45" s="3" t="s">
        <v>69</v>
      </c>
      <c r="B45" s="10"/>
      <c r="C45" s="10"/>
      <c r="D45" s="10"/>
    </row>
  </sheetData>
  <mergeCells count="33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A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3:D23"/>
    <mergeCell ref="A28:D28"/>
    <mergeCell ref="B29:D29"/>
    <mergeCell ref="B30:D30"/>
    <mergeCell ref="A32:D32"/>
    <mergeCell ref="B33:D33"/>
    <mergeCell ref="B34:D34"/>
    <mergeCell ref="B35:D35"/>
    <mergeCell ref="B36:D36"/>
    <mergeCell ref="A38:D38"/>
    <mergeCell ref="B41:D41"/>
    <mergeCell ref="B42:D42"/>
    <mergeCell ref="A44:D44"/>
    <mergeCell ref="B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22"/>
  </cols>
  <sheetData>
    <row r="1" customFormat="false" ht="27.75" hidden="false" customHeight="true" outlineLevel="0" collapsed="false">
      <c r="A1" s="1" t="s">
        <v>70</v>
      </c>
      <c r="B1" s="1"/>
      <c r="C1" s="1"/>
      <c r="D1" s="1"/>
    </row>
    <row r="2" customFormat="false" ht="39.75" hidden="false" customHeight="true" outlineLevel="0" collapsed="false">
      <c r="A2" s="8" t="s">
        <v>71</v>
      </c>
      <c r="B2" s="8"/>
      <c r="C2" s="8"/>
      <c r="D2" s="8"/>
    </row>
    <row r="4" customFormat="false" ht="15" hidden="false" customHeight="false" outlineLevel="0" collapsed="false">
      <c r="A4" s="12" t="s">
        <v>72</v>
      </c>
      <c r="B4" s="12" t="s">
        <v>73</v>
      </c>
      <c r="C4" s="12" t="s">
        <v>74</v>
      </c>
      <c r="D4" s="12" t="s">
        <v>75</v>
      </c>
    </row>
    <row r="5" customFormat="false" ht="42" hidden="false" customHeight="true" outlineLevel="0" collapsed="false">
      <c r="A5" s="13"/>
      <c r="B5" s="6" t="s">
        <v>76</v>
      </c>
      <c r="C5" s="11"/>
      <c r="D5" s="11"/>
    </row>
    <row r="6" customFormat="false" ht="42" hidden="false" customHeight="true" outlineLevel="0" collapsed="false">
      <c r="A6" s="13"/>
      <c r="B6" s="6" t="s">
        <v>77</v>
      </c>
      <c r="C6" s="11"/>
      <c r="D6" s="11"/>
    </row>
    <row r="7" customFormat="false" ht="42" hidden="false" customHeight="true" outlineLevel="0" collapsed="false">
      <c r="A7" s="13"/>
      <c r="B7" s="6" t="s">
        <v>78</v>
      </c>
      <c r="C7" s="11"/>
      <c r="D7" s="11"/>
    </row>
    <row r="8" customFormat="false" ht="42" hidden="false" customHeight="true" outlineLevel="0" collapsed="false">
      <c r="A8" s="13"/>
      <c r="B8" s="6" t="s">
        <v>79</v>
      </c>
      <c r="C8" s="11"/>
      <c r="D8" s="11"/>
    </row>
    <row r="9" customFormat="false" ht="42" hidden="false" customHeight="true" outlineLevel="0" collapsed="false">
      <c r="A9" s="13"/>
      <c r="B9" s="6" t="s">
        <v>80</v>
      </c>
      <c r="C9" s="11"/>
      <c r="D9" s="11"/>
    </row>
    <row r="10" customFormat="false" ht="42" hidden="false" customHeight="true" outlineLevel="0" collapsed="false">
      <c r="A10" s="13"/>
      <c r="B10" s="6" t="s">
        <v>81</v>
      </c>
      <c r="C10" s="11"/>
      <c r="D10" s="11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1" t="s">
        <v>82</v>
      </c>
      <c r="B1" s="1"/>
      <c r="C1" s="1"/>
      <c r="D1" s="1"/>
      <c r="E1" s="1"/>
      <c r="F1" s="1"/>
    </row>
    <row r="2" customFormat="false" ht="49.5" hidden="false" customHeight="true" outlineLevel="0" collapsed="false">
      <c r="A2" s="8" t="s">
        <v>83</v>
      </c>
      <c r="B2" s="8"/>
      <c r="C2" s="8"/>
      <c r="D2" s="8"/>
      <c r="E2" s="8"/>
      <c r="F2" s="8"/>
    </row>
    <row r="4" customFormat="false" ht="26.85" hidden="false" customHeight="false" outlineLevel="0" collapsed="false">
      <c r="A4" s="12" t="s">
        <v>84</v>
      </c>
      <c r="B4" s="12" t="s">
        <v>85</v>
      </c>
      <c r="C4" s="12" t="s">
        <v>86</v>
      </c>
      <c r="D4" s="12" t="s">
        <v>87</v>
      </c>
      <c r="E4" s="12" t="s">
        <v>88</v>
      </c>
      <c r="F4" s="12" t="s">
        <v>89</v>
      </c>
    </row>
    <row r="5" customFormat="false" ht="31.5" hidden="false" customHeight="true" outlineLevel="0" collapsed="false">
      <c r="A5" s="11"/>
      <c r="B5" s="11"/>
      <c r="C5" s="11"/>
      <c r="D5" s="11"/>
      <c r="E5" s="11"/>
      <c r="F5" s="11"/>
    </row>
    <row r="6" customFormat="false" ht="31.5" hidden="false" customHeight="true" outlineLevel="0" collapsed="false">
      <c r="A6" s="11"/>
      <c r="B6" s="11"/>
      <c r="C6" s="11"/>
      <c r="D6" s="11"/>
      <c r="E6" s="11"/>
      <c r="F6" s="11"/>
    </row>
    <row r="7" customFormat="false" ht="31.5" hidden="false" customHeight="true" outlineLevel="0" collapsed="false">
      <c r="A7" s="11"/>
      <c r="B7" s="11"/>
      <c r="C7" s="11"/>
      <c r="D7" s="11"/>
      <c r="E7" s="11"/>
      <c r="F7" s="11"/>
    </row>
    <row r="8" customFormat="false" ht="31.5" hidden="false" customHeight="true" outlineLevel="0" collapsed="false">
      <c r="A8" s="11"/>
      <c r="B8" s="11"/>
      <c r="C8" s="11"/>
      <c r="D8" s="11"/>
      <c r="E8" s="11"/>
      <c r="F8" s="11"/>
    </row>
    <row r="9" customFormat="false" ht="31.5" hidden="false" customHeight="true" outlineLevel="0" collapsed="false">
      <c r="A9" s="11"/>
      <c r="B9" s="11"/>
      <c r="C9" s="11"/>
      <c r="D9" s="11"/>
      <c r="E9" s="11"/>
      <c r="F9" s="11"/>
    </row>
    <row r="10" customFormat="false" ht="31.5" hidden="false" customHeight="true" outlineLevel="0" collapsed="false">
      <c r="A10" s="11"/>
      <c r="B10" s="11"/>
      <c r="C10" s="11"/>
      <c r="D10" s="11"/>
      <c r="E10" s="11"/>
      <c r="F10" s="11"/>
    </row>
    <row r="11" customFormat="false" ht="31.5" hidden="false" customHeight="true" outlineLevel="0" collapsed="false">
      <c r="A11" s="11"/>
      <c r="B11" s="11"/>
      <c r="C11" s="11"/>
      <c r="D11" s="11"/>
      <c r="E11" s="11"/>
      <c r="F11" s="11"/>
    </row>
    <row r="12" customFormat="false" ht="31.5" hidden="false" customHeight="true" outlineLevel="0" collapsed="false">
      <c r="A12" s="11"/>
      <c r="B12" s="11"/>
      <c r="C12" s="11"/>
      <c r="D12" s="11"/>
      <c r="E12" s="11"/>
      <c r="F12" s="11"/>
    </row>
    <row r="13" customFormat="false" ht="31.5" hidden="false" customHeight="true" outlineLevel="0" collapsed="false">
      <c r="A13" s="11"/>
      <c r="B13" s="11"/>
      <c r="C13" s="11"/>
      <c r="D13" s="11"/>
      <c r="E13" s="11"/>
      <c r="F13" s="11"/>
    </row>
    <row r="14" customFormat="false" ht="31.5" hidden="false" customHeight="true" outlineLevel="0" collapsed="false">
      <c r="A14" s="11"/>
      <c r="B14" s="11"/>
      <c r="C14" s="11"/>
      <c r="D14" s="11"/>
      <c r="E14" s="11"/>
      <c r="F14" s="11"/>
    </row>
    <row r="15" customFormat="false" ht="31.5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31.5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31.5" hidden="false" customHeight="true" outlineLevel="0" collapsed="false">
      <c r="A17" s="11"/>
      <c r="B17" s="11"/>
      <c r="C17" s="11"/>
      <c r="D17" s="11"/>
      <c r="E17" s="11"/>
      <c r="F17" s="11"/>
    </row>
    <row r="18" customFormat="false" ht="31.5" hidden="false" customHeight="true" outlineLevel="0" collapsed="false">
      <c r="A18" s="11"/>
      <c r="B18" s="11"/>
      <c r="C18" s="11"/>
      <c r="D18" s="11"/>
      <c r="E18" s="11"/>
      <c r="F18" s="11"/>
    </row>
    <row r="19" customFormat="false" ht="31.5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31.5" hidden="false" customHeight="true" outlineLevel="0" collapsed="false">
      <c r="A20" s="11"/>
      <c r="B20" s="11"/>
      <c r="C20" s="11"/>
      <c r="D20" s="11"/>
      <c r="E20" s="11"/>
      <c r="F20" s="11"/>
    </row>
    <row r="21" customFormat="false" ht="31.5" hidden="false" customHeight="true" outlineLevel="0" collapsed="false">
      <c r="A21" s="11"/>
      <c r="B21" s="11"/>
      <c r="C21" s="11"/>
      <c r="D21" s="11"/>
      <c r="E21" s="11"/>
      <c r="F21" s="11"/>
    </row>
    <row r="22" customFormat="false" ht="31.5" hidden="false" customHeight="true" outlineLevel="0" collapsed="false">
      <c r="A22" s="11"/>
      <c r="B22" s="11"/>
      <c r="C22" s="11"/>
      <c r="D22" s="11"/>
      <c r="E22" s="11"/>
      <c r="F22" s="11"/>
    </row>
    <row r="23" customFormat="false" ht="31.5" hidden="false" customHeight="true" outlineLevel="0" collapsed="false">
      <c r="A23" s="11"/>
      <c r="B23" s="11"/>
      <c r="C23" s="11"/>
      <c r="D23" s="11"/>
      <c r="E23" s="11"/>
      <c r="F23" s="11"/>
    </row>
    <row r="24" customFormat="false" ht="31.5" hidden="false" customHeight="true" outlineLevel="0" collapsed="false">
      <c r="A24" s="11"/>
      <c r="B24" s="11"/>
      <c r="C24" s="11"/>
      <c r="D24" s="11"/>
      <c r="E24" s="11"/>
      <c r="F24" s="11"/>
    </row>
  </sheetData>
  <mergeCells count="2">
    <mergeCell ref="A1:F1"/>
    <mergeCell ref="A2:F2"/>
  </mergeCells>
  <dataValidations count="4">
    <dataValidation allowBlank="true" errorStyle="stop" operator="between" showDropDown="false" showErrorMessage="false" showInputMessage="false" sqref="C5:C24" type="list">
      <formula1>"deklarativní,aplikační,hodnoticí"</formula1>
      <formula2>0</formula2>
    </dataValidation>
    <dataValidation allowBlank="true" errorStyle="stop" operator="between" showDropDown="false" showErrorMessage="false" showInputMessage="false" sqref="D5:D24" type="list">
      <formula1>"ano,ne"</formula1>
      <formula2>0</formula2>
    </dataValidation>
    <dataValidation allowBlank="true" errorStyle="stop" operator="between" showDropDown="false" showErrorMessage="false" showInputMessage="false" sqref="E5:E24" type="list">
      <formula1>"1,2,3,4,5,Capstone"</formula1>
      <formula2>0</formula2>
    </dataValidation>
    <dataValidation allowBlank="true" errorStyle="stop" operator="between" showDropDown="false" showErrorMessage="false" showInputMessage="false" sqref="F5:F24" type="list">
      <formula1>"1 — Zapamatovat,2 — Porozumět,3 — Aplikovat,4 — Analyzovat,5 — Hodnotit,6 — Tvořit"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40"/>
  </cols>
  <sheetData>
    <row r="1" customFormat="false" ht="27.75" hidden="false" customHeight="true" outlineLevel="0" collapsed="false">
      <c r="A1" s="1" t="s">
        <v>90</v>
      </c>
      <c r="B1" s="1"/>
      <c r="C1" s="1"/>
      <c r="D1" s="1"/>
    </row>
    <row r="2" customFormat="false" ht="31.5" hidden="false" customHeight="true" outlineLevel="0" collapsed="false">
      <c r="A2" s="8" t="s">
        <v>91</v>
      </c>
      <c r="B2" s="8"/>
      <c r="C2" s="8"/>
      <c r="D2" s="8"/>
    </row>
    <row r="4" customFormat="false" ht="15" hidden="false" customHeight="false" outlineLevel="0" collapsed="false">
      <c r="A4" s="12" t="s">
        <v>88</v>
      </c>
      <c r="B4" s="12" t="s">
        <v>92</v>
      </c>
      <c r="C4" s="12" t="s">
        <v>93</v>
      </c>
      <c r="D4" s="12" t="s">
        <v>94</v>
      </c>
    </row>
    <row r="5" customFormat="false" ht="60" hidden="false" customHeight="true" outlineLevel="0" collapsed="false">
      <c r="A5" s="14" t="s">
        <v>95</v>
      </c>
      <c r="B5" s="11"/>
      <c r="C5" s="11"/>
      <c r="D5" s="11"/>
    </row>
    <row r="6" customFormat="false" ht="60" hidden="false" customHeight="true" outlineLevel="0" collapsed="false">
      <c r="A6" s="14" t="s">
        <v>96</v>
      </c>
      <c r="B6" s="11"/>
      <c r="C6" s="11"/>
      <c r="D6" s="11"/>
    </row>
    <row r="7" customFormat="false" ht="60" hidden="false" customHeight="true" outlineLevel="0" collapsed="false">
      <c r="A7" s="14" t="s">
        <v>97</v>
      </c>
      <c r="B7" s="11"/>
      <c r="C7" s="11"/>
      <c r="D7" s="11"/>
    </row>
    <row r="8" customFormat="false" ht="60" hidden="false" customHeight="true" outlineLevel="0" collapsed="false">
      <c r="A8" s="14" t="s">
        <v>98</v>
      </c>
      <c r="B8" s="11"/>
      <c r="C8" s="11"/>
      <c r="D8" s="11"/>
    </row>
    <row r="9" customFormat="false" ht="60" hidden="false" customHeight="true" outlineLevel="0" collapsed="false">
      <c r="A9" s="14" t="s">
        <v>99</v>
      </c>
      <c r="B9" s="11"/>
      <c r="C9" s="11"/>
      <c r="D9" s="11"/>
    </row>
    <row r="10" customFormat="false" ht="60" hidden="false" customHeight="true" outlineLevel="0" collapsed="false">
      <c r="A10" s="14" t="s">
        <v>100</v>
      </c>
      <c r="B10" s="11"/>
      <c r="C10" s="11"/>
      <c r="D10" s="11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45"/>
    <col collapsed="false" customWidth="true" hidden="false" outlineLevel="0" max="4" min="4" style="0" width="55"/>
  </cols>
  <sheetData>
    <row r="1" customFormat="false" ht="27.75" hidden="false" customHeight="true" outlineLevel="0" collapsed="false">
      <c r="A1" s="1" t="s">
        <v>101</v>
      </c>
      <c r="B1" s="1"/>
      <c r="C1" s="1"/>
      <c r="D1" s="1"/>
    </row>
    <row r="2" customFormat="false" ht="39.75" hidden="false" customHeight="true" outlineLevel="0" collapsed="false">
      <c r="A2" s="8" t="s">
        <v>102</v>
      </c>
      <c r="B2" s="8"/>
      <c r="C2" s="8"/>
      <c r="D2" s="8"/>
    </row>
    <row r="4" customFormat="false" ht="15" hidden="false" customHeight="false" outlineLevel="0" collapsed="false">
      <c r="A4" s="12" t="s">
        <v>72</v>
      </c>
      <c r="B4" s="12" t="s">
        <v>103</v>
      </c>
      <c r="C4" s="12" t="s">
        <v>104</v>
      </c>
      <c r="D4" s="12" t="s">
        <v>105</v>
      </c>
    </row>
    <row r="5" customFormat="false" ht="36" hidden="false" customHeight="true" outlineLevel="0" collapsed="false">
      <c r="A5" s="13"/>
      <c r="B5" s="14" t="s">
        <v>106</v>
      </c>
      <c r="C5" s="6" t="s">
        <v>107</v>
      </c>
      <c r="D5" s="4" t="s">
        <v>108</v>
      </c>
    </row>
    <row r="6" customFormat="false" ht="36" hidden="false" customHeight="true" outlineLevel="0" collapsed="false">
      <c r="A6" s="13"/>
      <c r="B6" s="14" t="s">
        <v>109</v>
      </c>
      <c r="C6" s="6" t="s">
        <v>110</v>
      </c>
      <c r="D6" s="4" t="s">
        <v>111</v>
      </c>
    </row>
    <row r="7" customFormat="false" ht="36" hidden="false" customHeight="true" outlineLevel="0" collapsed="false">
      <c r="A7" s="13"/>
      <c r="B7" s="14" t="s">
        <v>112</v>
      </c>
      <c r="C7" s="6" t="s">
        <v>113</v>
      </c>
      <c r="D7" s="4" t="s">
        <v>114</v>
      </c>
    </row>
    <row r="8" customFormat="false" ht="36" hidden="false" customHeight="true" outlineLevel="0" collapsed="false">
      <c r="A8" s="13"/>
      <c r="B8" s="14" t="s">
        <v>115</v>
      </c>
      <c r="C8" s="6" t="s">
        <v>116</v>
      </c>
      <c r="D8" s="4" t="s">
        <v>117</v>
      </c>
    </row>
    <row r="9" customFormat="false" ht="36" hidden="false" customHeight="true" outlineLevel="0" collapsed="false">
      <c r="A9" s="13"/>
      <c r="B9" s="14" t="s">
        <v>118</v>
      </c>
      <c r="C9" s="6" t="s">
        <v>119</v>
      </c>
      <c r="D9" s="4" t="s">
        <v>120</v>
      </c>
    </row>
    <row r="10" customFormat="false" ht="36" hidden="false" customHeight="true" outlineLevel="0" collapsed="false">
      <c r="A10" s="13"/>
      <c r="B10" s="14" t="s">
        <v>121</v>
      </c>
      <c r="C10" s="6" t="s">
        <v>122</v>
      </c>
      <c r="D10" s="4" t="s">
        <v>123</v>
      </c>
    </row>
    <row r="11" customFormat="false" ht="36" hidden="false" customHeight="true" outlineLevel="0" collapsed="false">
      <c r="A11" s="13"/>
      <c r="B11" s="14" t="s">
        <v>124</v>
      </c>
      <c r="C11" s="6" t="s">
        <v>125</v>
      </c>
      <c r="D11" s="4" t="s">
        <v>126</v>
      </c>
    </row>
    <row r="12" customFormat="false" ht="36" hidden="false" customHeight="true" outlineLevel="0" collapsed="false">
      <c r="A12" s="13"/>
      <c r="B12" s="14" t="s">
        <v>127</v>
      </c>
      <c r="C12" s="6" t="s">
        <v>128</v>
      </c>
      <c r="D12" s="4" t="s">
        <v>129</v>
      </c>
    </row>
    <row r="13" customFormat="false" ht="36" hidden="false" customHeight="true" outlineLevel="0" collapsed="false">
      <c r="A13" s="13"/>
      <c r="B13" s="14" t="s">
        <v>130</v>
      </c>
      <c r="C13" s="6" t="s">
        <v>131</v>
      </c>
      <c r="D13" s="4" t="s">
        <v>132</v>
      </c>
    </row>
    <row r="14" customFormat="false" ht="36" hidden="false" customHeight="true" outlineLevel="0" collapsed="false">
      <c r="A14" s="13"/>
      <c r="B14" s="14" t="s">
        <v>133</v>
      </c>
      <c r="C14" s="6" t="s">
        <v>134</v>
      </c>
      <c r="D14" s="4" t="s">
        <v>135</v>
      </c>
    </row>
    <row r="15" customFormat="false" ht="36" hidden="false" customHeight="true" outlineLevel="0" collapsed="false">
      <c r="A15" s="13"/>
      <c r="B15" s="14" t="s">
        <v>136</v>
      </c>
      <c r="C15" s="6" t="s">
        <v>137</v>
      </c>
      <c r="D15" s="4" t="s">
        <v>138</v>
      </c>
    </row>
    <row r="16" customFormat="false" ht="36" hidden="false" customHeight="true" outlineLevel="0" collapsed="false">
      <c r="A16" s="13"/>
      <c r="B16" s="14" t="s">
        <v>139</v>
      </c>
      <c r="C16" s="6" t="s">
        <v>140</v>
      </c>
      <c r="D16" s="4" t="s">
        <v>141</v>
      </c>
    </row>
    <row r="17" customFormat="false" ht="36" hidden="false" customHeight="true" outlineLevel="0" collapsed="false">
      <c r="A17" s="13"/>
      <c r="B17" s="14" t="s">
        <v>142</v>
      </c>
      <c r="C17" s="6" t="s">
        <v>143</v>
      </c>
      <c r="D17" s="4" t="s">
        <v>144</v>
      </c>
    </row>
    <row r="18" customFormat="false" ht="36" hidden="false" customHeight="true" outlineLevel="0" collapsed="false">
      <c r="A18" s="13"/>
      <c r="B18" s="14" t="s">
        <v>145</v>
      </c>
      <c r="C18" s="6" t="s">
        <v>146</v>
      </c>
      <c r="D18" s="4" t="s">
        <v>147</v>
      </c>
    </row>
    <row r="19" customFormat="false" ht="36" hidden="false" customHeight="true" outlineLevel="0" collapsed="false">
      <c r="A19" s="13"/>
      <c r="B19" s="14" t="s">
        <v>148</v>
      </c>
      <c r="C19" s="6" t="s">
        <v>149</v>
      </c>
      <c r="D19" s="4" t="s">
        <v>150</v>
      </c>
    </row>
    <row r="20" customFormat="false" ht="36" hidden="false" customHeight="true" outlineLevel="0" collapsed="false">
      <c r="A20" s="13"/>
      <c r="B20" s="14" t="s">
        <v>151</v>
      </c>
      <c r="C20" s="6" t="s">
        <v>152</v>
      </c>
      <c r="D20" s="4" t="s">
        <v>153</v>
      </c>
    </row>
    <row r="21" customFormat="false" ht="36" hidden="false" customHeight="true" outlineLevel="0" collapsed="false">
      <c r="A21" s="13"/>
      <c r="B21" s="14" t="s">
        <v>154</v>
      </c>
      <c r="C21" s="6" t="s">
        <v>155</v>
      </c>
      <c r="D21" s="4" t="s">
        <v>156</v>
      </c>
    </row>
    <row r="22" customFormat="false" ht="36" hidden="false" customHeight="true" outlineLevel="0" collapsed="false">
      <c r="A22" s="13"/>
      <c r="B22" s="14" t="s">
        <v>157</v>
      </c>
      <c r="C22" s="6" t="s">
        <v>158</v>
      </c>
      <c r="D22" s="4" t="s">
        <v>159</v>
      </c>
    </row>
    <row r="23" customFormat="false" ht="36" hidden="false" customHeight="true" outlineLevel="0" collapsed="false">
      <c r="A23" s="13"/>
      <c r="B23" s="14" t="s">
        <v>160</v>
      </c>
      <c r="C23" s="6" t="s">
        <v>161</v>
      </c>
      <c r="D23" s="4" t="s">
        <v>162</v>
      </c>
    </row>
    <row r="24" customFormat="false" ht="36" hidden="false" customHeight="true" outlineLevel="0" collapsed="false">
      <c r="A24" s="13"/>
      <c r="B24" s="14" t="s">
        <v>163</v>
      </c>
      <c r="C24" s="6" t="s">
        <v>164</v>
      </c>
      <c r="D24" s="4" t="s">
        <v>165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5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166</v>
      </c>
      <c r="B1" s="1"/>
      <c r="C1" s="1"/>
      <c r="D1" s="1"/>
    </row>
    <row r="2" customFormat="false" ht="24" hidden="false" customHeight="true" outlineLevel="0" collapsed="false">
      <c r="A2" s="8" t="s">
        <v>167</v>
      </c>
      <c r="B2" s="8"/>
      <c r="C2" s="8"/>
      <c r="D2" s="8"/>
    </row>
    <row r="4" customFormat="false" ht="21.75" hidden="false" customHeight="true" outlineLevel="0" collapsed="false">
      <c r="A4" s="11"/>
      <c r="B4" s="6" t="s">
        <v>168</v>
      </c>
      <c r="C4" s="11"/>
      <c r="D4" s="6" t="s">
        <v>169</v>
      </c>
    </row>
    <row r="5" customFormat="false" ht="21.75" hidden="false" customHeight="true" outlineLevel="0" collapsed="false">
      <c r="A5" s="11"/>
      <c r="B5" s="6" t="s">
        <v>170</v>
      </c>
      <c r="C5" s="11"/>
      <c r="D5" s="6" t="s">
        <v>171</v>
      </c>
    </row>
    <row r="6" customFormat="false" ht="21.75" hidden="false" customHeight="true" outlineLevel="0" collapsed="false">
      <c r="A6" s="11"/>
      <c r="B6" s="6" t="s">
        <v>172</v>
      </c>
      <c r="C6" s="11"/>
      <c r="D6" s="6" t="s">
        <v>173</v>
      </c>
    </row>
    <row r="7" customFormat="false" ht="21.75" hidden="false" customHeight="true" outlineLevel="0" collapsed="false">
      <c r="A7" s="11"/>
      <c r="B7" s="6" t="s">
        <v>174</v>
      </c>
      <c r="C7" s="11"/>
      <c r="D7" s="6" t="s">
        <v>175</v>
      </c>
    </row>
    <row r="8" customFormat="false" ht="21.75" hidden="false" customHeight="true" outlineLevel="0" collapsed="false">
      <c r="A8" s="11"/>
      <c r="B8" s="6" t="s">
        <v>176</v>
      </c>
      <c r="C8" s="11"/>
      <c r="D8" s="6" t="s">
        <v>177</v>
      </c>
    </row>
    <row r="9" customFormat="false" ht="21.75" hidden="false" customHeight="true" outlineLevel="0" collapsed="false">
      <c r="A9" s="11"/>
      <c r="B9" s="6" t="s">
        <v>178</v>
      </c>
      <c r="C9" s="11"/>
      <c r="D9" s="6" t="s">
        <v>179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70"/>
  </cols>
  <sheetData>
    <row r="1" customFormat="false" ht="27.75" hidden="false" customHeight="true" outlineLevel="0" collapsed="false">
      <c r="A1" s="1" t="s">
        <v>180</v>
      </c>
      <c r="B1" s="1"/>
      <c r="C1" s="1"/>
    </row>
    <row r="2" customFormat="false" ht="39.75" hidden="false" customHeight="true" outlineLevel="0" collapsed="false">
      <c r="A2" s="8" t="s">
        <v>181</v>
      </c>
      <c r="B2" s="8"/>
      <c r="C2" s="8"/>
    </row>
    <row r="4" customFormat="false" ht="15" hidden="false" customHeight="false" outlineLevel="0" collapsed="false">
      <c r="A4" s="12" t="s">
        <v>72</v>
      </c>
      <c r="B4" s="12" t="s">
        <v>103</v>
      </c>
      <c r="C4" s="12" t="s">
        <v>182</v>
      </c>
    </row>
    <row r="5" customFormat="false" ht="21.75" hidden="false" customHeight="true" outlineLevel="0" collapsed="false">
      <c r="A5" s="13"/>
      <c r="B5" s="14" t="s">
        <v>183</v>
      </c>
      <c r="C5" s="6" t="s">
        <v>184</v>
      </c>
    </row>
    <row r="6" customFormat="false" ht="21.75" hidden="false" customHeight="true" outlineLevel="0" collapsed="false">
      <c r="A6" s="13"/>
      <c r="B6" s="14" t="s">
        <v>185</v>
      </c>
      <c r="C6" s="6" t="s">
        <v>186</v>
      </c>
    </row>
    <row r="7" customFormat="false" ht="21.75" hidden="false" customHeight="true" outlineLevel="0" collapsed="false">
      <c r="A7" s="13"/>
      <c r="B7" s="14" t="s">
        <v>187</v>
      </c>
      <c r="C7" s="6" t="s">
        <v>188</v>
      </c>
    </row>
    <row r="8" customFormat="false" ht="21.75" hidden="false" customHeight="true" outlineLevel="0" collapsed="false">
      <c r="A8" s="13"/>
      <c r="B8" s="14" t="s">
        <v>189</v>
      </c>
      <c r="C8" s="6" t="s">
        <v>190</v>
      </c>
    </row>
    <row r="9" customFormat="false" ht="21.75" hidden="false" customHeight="true" outlineLevel="0" collapsed="false">
      <c r="A9" s="13"/>
      <c r="B9" s="14" t="s">
        <v>191</v>
      </c>
      <c r="C9" s="6" t="s">
        <v>192</v>
      </c>
    </row>
    <row r="10" customFormat="false" ht="21.75" hidden="false" customHeight="true" outlineLevel="0" collapsed="false">
      <c r="A10" s="13"/>
      <c r="B10" s="14" t="s">
        <v>193</v>
      </c>
      <c r="C10" s="6" t="s">
        <v>194</v>
      </c>
    </row>
    <row r="11" customFormat="false" ht="21.75" hidden="false" customHeight="true" outlineLevel="0" collapsed="false">
      <c r="A11" s="13"/>
      <c r="B11" s="14" t="s">
        <v>195</v>
      </c>
      <c r="C11" s="6" t="s">
        <v>196</v>
      </c>
    </row>
    <row r="12" customFormat="false" ht="21.75" hidden="false" customHeight="true" outlineLevel="0" collapsed="false">
      <c r="A12" s="13"/>
      <c r="B12" s="14" t="s">
        <v>197</v>
      </c>
      <c r="C12" s="6" t="s">
        <v>198</v>
      </c>
    </row>
    <row r="13" customFormat="false" ht="21.75" hidden="false" customHeight="true" outlineLevel="0" collapsed="false">
      <c r="A13" s="13"/>
      <c r="B13" s="14" t="s">
        <v>199</v>
      </c>
      <c r="C13" s="6" t="s">
        <v>200</v>
      </c>
    </row>
    <row r="14" customFormat="false" ht="21.75" hidden="false" customHeight="true" outlineLevel="0" collapsed="false">
      <c r="A14" s="13"/>
      <c r="B14" s="14" t="s">
        <v>201</v>
      </c>
      <c r="C14" s="6" t="s">
        <v>202</v>
      </c>
    </row>
    <row r="15" customFormat="false" ht="21.75" hidden="false" customHeight="true" outlineLevel="0" collapsed="false">
      <c r="A15" s="13"/>
      <c r="B15" s="14" t="s">
        <v>203</v>
      </c>
      <c r="C15" s="6" t="s">
        <v>204</v>
      </c>
    </row>
    <row r="16" customFormat="false" ht="21.75" hidden="false" customHeight="true" outlineLevel="0" collapsed="false">
      <c r="A16" s="13"/>
      <c r="B16" s="14" t="s">
        <v>205</v>
      </c>
      <c r="C16" s="6" t="s">
        <v>206</v>
      </c>
    </row>
    <row r="17" customFormat="false" ht="21.75" hidden="false" customHeight="true" outlineLevel="0" collapsed="false">
      <c r="A17" s="13"/>
      <c r="B17" s="14" t="s">
        <v>207</v>
      </c>
      <c r="C17" s="6" t="s">
        <v>208</v>
      </c>
    </row>
    <row r="18" customFormat="false" ht="21.75" hidden="false" customHeight="true" outlineLevel="0" collapsed="false">
      <c r="A18" s="13"/>
      <c r="B18" s="14" t="s">
        <v>209</v>
      </c>
      <c r="C18" s="6" t="s">
        <v>210</v>
      </c>
    </row>
    <row r="19" customFormat="false" ht="21.75" hidden="false" customHeight="true" outlineLevel="0" collapsed="false">
      <c r="A19" s="13"/>
      <c r="B19" s="14" t="s">
        <v>211</v>
      </c>
      <c r="C19" s="6" t="s">
        <v>212</v>
      </c>
    </row>
    <row r="20" customFormat="false" ht="21.75" hidden="false" customHeight="true" outlineLevel="0" collapsed="false">
      <c r="A20" s="13"/>
      <c r="B20" s="14" t="s">
        <v>213</v>
      </c>
      <c r="C20" s="6" t="s">
        <v>214</v>
      </c>
    </row>
    <row r="21" customFormat="false" ht="21.75" hidden="false" customHeight="true" outlineLevel="0" collapsed="false">
      <c r="A21" s="13"/>
      <c r="B21" s="14" t="s">
        <v>215</v>
      </c>
      <c r="C21" s="6" t="s">
        <v>216</v>
      </c>
    </row>
    <row r="22" customFormat="false" ht="21.75" hidden="false" customHeight="true" outlineLevel="0" collapsed="false">
      <c r="A22" s="13"/>
      <c r="B22" s="14" t="s">
        <v>217</v>
      </c>
      <c r="C22" s="6" t="s">
        <v>218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40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" t="s">
        <v>219</v>
      </c>
      <c r="B1" s="1"/>
      <c r="C1" s="1"/>
      <c r="D1" s="1"/>
    </row>
    <row r="2" customFormat="false" ht="31.5" hidden="false" customHeight="true" outlineLevel="0" collapsed="false">
      <c r="A2" s="8" t="s">
        <v>220</v>
      </c>
      <c r="B2" s="8"/>
      <c r="C2" s="8"/>
      <c r="D2" s="8"/>
    </row>
    <row r="4" customFormat="false" ht="26.85" hidden="false" customHeight="false" outlineLevel="0" collapsed="false">
      <c r="A4" s="12" t="s">
        <v>86</v>
      </c>
      <c r="B4" s="12" t="s">
        <v>221</v>
      </c>
      <c r="C4" s="12" t="s">
        <v>222</v>
      </c>
      <c r="D4" s="12" t="s">
        <v>223</v>
      </c>
    </row>
    <row r="5" customFormat="false" ht="42" hidden="false" customHeight="true" outlineLevel="0" collapsed="false">
      <c r="A5" s="11"/>
      <c r="B5" s="11"/>
      <c r="C5" s="11"/>
      <c r="D5" s="11"/>
    </row>
    <row r="6" customFormat="false" ht="42" hidden="false" customHeight="true" outlineLevel="0" collapsed="false">
      <c r="A6" s="11"/>
      <c r="B6" s="11"/>
      <c r="C6" s="11"/>
      <c r="D6" s="11"/>
    </row>
    <row r="7" customFormat="false" ht="42" hidden="false" customHeight="true" outlineLevel="0" collapsed="false">
      <c r="A7" s="11"/>
      <c r="B7" s="11"/>
      <c r="C7" s="11"/>
      <c r="D7" s="11"/>
    </row>
    <row r="8" customFormat="false" ht="42" hidden="false" customHeight="true" outlineLevel="0" collapsed="false">
      <c r="A8" s="11"/>
      <c r="B8" s="11"/>
      <c r="C8" s="11"/>
      <c r="D8" s="11"/>
    </row>
    <row r="9" customFormat="false" ht="42" hidden="false" customHeight="true" outlineLevel="0" collapsed="false">
      <c r="A9" s="11"/>
      <c r="B9" s="11"/>
      <c r="C9" s="11"/>
      <c r="D9" s="11"/>
    </row>
    <row r="10" customFormat="false" ht="42" hidden="false" customHeight="true" outlineLevel="0" collapsed="false">
      <c r="A10" s="11"/>
      <c r="B10" s="11"/>
      <c r="C10" s="11"/>
      <c r="D10" s="11"/>
    </row>
    <row r="11" customFormat="false" ht="42" hidden="false" customHeight="true" outlineLevel="0" collapsed="false">
      <c r="A11" s="11"/>
      <c r="B11" s="11"/>
      <c r="C11" s="11"/>
      <c r="D11" s="11"/>
    </row>
    <row r="12" customFormat="false" ht="42" hidden="false" customHeight="true" outlineLevel="0" collapsed="false">
      <c r="A12" s="11"/>
      <c r="B12" s="11"/>
      <c r="C12" s="11"/>
      <c r="D12" s="11"/>
    </row>
    <row r="13" customFormat="false" ht="42" hidden="false" customHeight="true" outlineLevel="0" collapsed="false">
      <c r="A13" s="11"/>
      <c r="B13" s="11"/>
      <c r="C13" s="11"/>
      <c r="D13" s="11"/>
    </row>
    <row r="14" customFormat="false" ht="42" hidden="false" customHeight="true" outlineLevel="0" collapsed="false">
      <c r="A14" s="11"/>
      <c r="B14" s="11"/>
      <c r="C14" s="11"/>
      <c r="D14" s="11"/>
    </row>
    <row r="15" customFormat="false" ht="42" hidden="false" customHeight="true" outlineLevel="0" collapsed="false">
      <c r="A15" s="11"/>
      <c r="B15" s="11"/>
      <c r="C15" s="11"/>
      <c r="D15" s="11"/>
    </row>
    <row r="16" customFormat="false" ht="42" hidden="false" customHeight="true" outlineLevel="0" collapsed="false">
      <c r="A16" s="11"/>
      <c r="B16" s="11"/>
      <c r="C16" s="11"/>
      <c r="D16" s="11"/>
    </row>
    <row r="17" customFormat="false" ht="42" hidden="false" customHeight="true" outlineLevel="0" collapsed="false">
      <c r="A17" s="11"/>
      <c r="B17" s="11"/>
      <c r="C17" s="11"/>
      <c r="D17" s="11"/>
    </row>
    <row r="18" customFormat="false" ht="42" hidden="false" customHeight="true" outlineLevel="0" collapsed="false">
      <c r="A18" s="11"/>
      <c r="B18" s="11"/>
      <c r="C18" s="11"/>
      <c r="D18" s="11"/>
    </row>
    <row r="19" customFormat="false" ht="42" hidden="false" customHeight="true" outlineLevel="0" collapsed="false">
      <c r="A19" s="11"/>
      <c r="B19" s="11"/>
      <c r="C19" s="11"/>
      <c r="D19" s="11"/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A5:A19" type="list">
      <formula1>"MUSÍ,NESMÍ"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1" t="s">
        <v>224</v>
      </c>
      <c r="B1" s="1"/>
      <c r="C1" s="1"/>
      <c r="D1" s="1"/>
    </row>
    <row r="2" customFormat="false" ht="31.5" hidden="false" customHeight="true" outlineLevel="0" collapsed="false">
      <c r="A2" s="8" t="s">
        <v>225</v>
      </c>
      <c r="B2" s="8"/>
      <c r="C2" s="8"/>
      <c r="D2" s="8"/>
    </row>
    <row r="4" customFormat="false" ht="19.5" hidden="false" customHeight="true" outlineLevel="0" collapsed="false">
      <c r="A4" s="9" t="s">
        <v>226</v>
      </c>
      <c r="B4" s="9"/>
      <c r="C4" s="9"/>
      <c r="D4" s="9"/>
    </row>
    <row r="5" customFormat="false" ht="37.5" hidden="false" customHeight="true" outlineLevel="0" collapsed="false">
      <c r="A5" s="3" t="s">
        <v>227</v>
      </c>
      <c r="B5" s="10"/>
      <c r="C5" s="10"/>
      <c r="D5" s="10"/>
    </row>
    <row r="6" customFormat="false" ht="37.5" hidden="false" customHeight="true" outlineLevel="0" collapsed="false">
      <c r="A6" s="3" t="s">
        <v>228</v>
      </c>
      <c r="B6" s="10"/>
      <c r="C6" s="10"/>
      <c r="D6" s="10"/>
    </row>
    <row r="7" customFormat="false" ht="37.5" hidden="false" customHeight="true" outlineLevel="0" collapsed="false">
      <c r="A7" s="3" t="s">
        <v>229</v>
      </c>
      <c r="B7" s="10"/>
      <c r="C7" s="10"/>
      <c r="D7" s="10"/>
    </row>
    <row r="8" customFormat="false" ht="37.5" hidden="false" customHeight="true" outlineLevel="0" collapsed="false">
      <c r="A8" s="3" t="s">
        <v>230</v>
      </c>
      <c r="B8" s="10"/>
      <c r="C8" s="10"/>
      <c r="D8" s="10"/>
    </row>
    <row r="9" customFormat="false" ht="37.5" hidden="false" customHeight="true" outlineLevel="0" collapsed="false">
      <c r="A9" s="3" t="s">
        <v>231</v>
      </c>
      <c r="B9" s="10"/>
      <c r="C9" s="10"/>
      <c r="D9" s="10"/>
    </row>
    <row r="10" customFormat="false" ht="37.5" hidden="false" customHeight="true" outlineLevel="0" collapsed="false">
      <c r="A10" s="3" t="s">
        <v>232</v>
      </c>
      <c r="B10" s="10"/>
      <c r="C10" s="10"/>
      <c r="D10" s="10"/>
    </row>
    <row r="11" customFormat="false" ht="37.5" hidden="false" customHeight="true" outlineLevel="0" collapsed="false">
      <c r="A11" s="3" t="s">
        <v>233</v>
      </c>
      <c r="B11" s="10"/>
      <c r="C11" s="10"/>
      <c r="D11" s="10"/>
    </row>
    <row r="13" customFormat="false" ht="19.5" hidden="false" customHeight="true" outlineLevel="0" collapsed="false">
      <c r="A13" s="9" t="s">
        <v>234</v>
      </c>
      <c r="B13" s="9"/>
      <c r="C13" s="9"/>
      <c r="D13" s="9"/>
    </row>
    <row r="14" customFormat="false" ht="30" hidden="false" customHeight="true" outlineLevel="0" collapsed="false">
      <c r="A14" s="8" t="s">
        <v>235</v>
      </c>
      <c r="B14" s="8"/>
      <c r="C14" s="8"/>
      <c r="D14" s="8"/>
    </row>
    <row r="15" customFormat="false" ht="15" hidden="false" customHeight="false" outlineLevel="0" collapsed="false">
      <c r="A15" s="12" t="s">
        <v>236</v>
      </c>
      <c r="B15" s="12" t="s">
        <v>237</v>
      </c>
      <c r="C15" s="12" t="s">
        <v>238</v>
      </c>
      <c r="D15" s="12" t="s">
        <v>239</v>
      </c>
    </row>
    <row r="16" customFormat="false" ht="31.5" hidden="false" customHeight="true" outlineLevel="0" collapsed="false">
      <c r="A16" s="14" t="n">
        <v>1</v>
      </c>
      <c r="B16" s="11"/>
      <c r="C16" s="11"/>
      <c r="D16" s="11"/>
    </row>
    <row r="17" customFormat="false" ht="31.5" hidden="false" customHeight="true" outlineLevel="0" collapsed="false">
      <c r="A17" s="14" t="n">
        <v>2</v>
      </c>
      <c r="B17" s="11"/>
      <c r="C17" s="11"/>
      <c r="D17" s="11"/>
    </row>
    <row r="18" customFormat="false" ht="31.5" hidden="false" customHeight="true" outlineLevel="0" collapsed="false">
      <c r="A18" s="14" t="n">
        <v>3</v>
      </c>
      <c r="B18" s="11"/>
      <c r="C18" s="11"/>
      <c r="D18" s="11"/>
    </row>
    <row r="19" customFormat="false" ht="31.5" hidden="false" customHeight="true" outlineLevel="0" collapsed="false">
      <c r="A19" s="14" t="n">
        <v>4</v>
      </c>
      <c r="B19" s="11"/>
      <c r="C19" s="11"/>
      <c r="D19" s="11"/>
    </row>
    <row r="20" customFormat="false" ht="31.5" hidden="false" customHeight="true" outlineLevel="0" collapsed="false">
      <c r="A20" s="14" t="n">
        <v>5</v>
      </c>
      <c r="B20" s="11"/>
      <c r="C20" s="11"/>
      <c r="D20" s="11"/>
    </row>
    <row r="21" customFormat="false" ht="31.5" hidden="false" customHeight="true" outlineLevel="0" collapsed="false">
      <c r="A21" s="14" t="n">
        <v>6</v>
      </c>
      <c r="B21" s="11"/>
      <c r="C21" s="11"/>
      <c r="D21" s="11"/>
    </row>
    <row r="22" customFormat="false" ht="31.5" hidden="false" customHeight="true" outlineLevel="0" collapsed="false">
      <c r="A22" s="14" t="n">
        <v>7</v>
      </c>
      <c r="B22" s="11"/>
      <c r="C22" s="11"/>
      <c r="D22" s="11"/>
    </row>
    <row r="23" customFormat="false" ht="31.5" hidden="false" customHeight="true" outlineLevel="0" collapsed="false">
      <c r="A23" s="14" t="n">
        <v>8</v>
      </c>
      <c r="B23" s="11"/>
      <c r="C23" s="11"/>
      <c r="D23" s="11"/>
    </row>
    <row r="24" customFormat="false" ht="31.5" hidden="false" customHeight="true" outlineLevel="0" collapsed="false">
      <c r="A24" s="14" t="n">
        <v>9</v>
      </c>
      <c r="B24" s="11"/>
      <c r="C24" s="11"/>
      <c r="D24" s="11"/>
    </row>
    <row r="25" customFormat="false" ht="31.5" hidden="false" customHeight="true" outlineLevel="0" collapsed="false">
      <c r="A25" s="14" t="n">
        <v>10</v>
      </c>
      <c r="B25" s="11"/>
      <c r="C25" s="11"/>
      <c r="D25" s="11"/>
    </row>
  </sheetData>
  <mergeCells count="12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B11:D11"/>
    <mergeCell ref="A13:D13"/>
    <mergeCell ref="A14:D14"/>
  </mergeCells>
  <dataValidations count="1">
    <dataValidation allowBlank="true" errorStyle="stop" operator="between" showDropDown="false" showErrorMessage="false" showInputMessage="false" sqref="D16:D25" type="list">
      <formula1>"ano,ne"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35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240</v>
      </c>
      <c r="B1" s="1"/>
      <c r="C1" s="1"/>
      <c r="D1" s="1"/>
      <c r="E1" s="1"/>
      <c r="F1" s="1"/>
      <c r="G1" s="1"/>
    </row>
    <row r="2" customFormat="false" ht="49.5" hidden="false" customHeight="true" outlineLevel="0" collapsed="false">
      <c r="A2" s="8" t="s">
        <v>241</v>
      </c>
      <c r="B2" s="8"/>
      <c r="C2" s="8"/>
      <c r="D2" s="8"/>
      <c r="E2" s="8"/>
      <c r="F2" s="8"/>
      <c r="G2" s="8"/>
    </row>
    <row r="4" customFormat="false" ht="39.55" hidden="false" customHeight="false" outlineLevel="0" collapsed="false">
      <c r="A4" s="12" t="s">
        <v>242</v>
      </c>
      <c r="B4" s="12" t="s">
        <v>86</v>
      </c>
      <c r="C4" s="12" t="s">
        <v>88</v>
      </c>
      <c r="D4" s="12" t="s">
        <v>243</v>
      </c>
      <c r="E4" s="12" t="s">
        <v>244</v>
      </c>
      <c r="F4" s="12" t="s">
        <v>245</v>
      </c>
      <c r="G4" s="12" t="s">
        <v>246</v>
      </c>
    </row>
    <row r="5" customFormat="false" ht="27.75" hidden="false" customHeight="true" outlineLevel="0" collapsed="false">
      <c r="A5" s="11"/>
      <c r="B5" s="11"/>
      <c r="C5" s="11"/>
      <c r="D5" s="11"/>
      <c r="E5" s="11"/>
      <c r="F5" s="11"/>
      <c r="G5" s="11"/>
    </row>
    <row r="6" customFormat="false" ht="27.75" hidden="false" customHeight="true" outlineLevel="0" collapsed="false">
      <c r="A6" s="11"/>
      <c r="B6" s="11"/>
      <c r="C6" s="11"/>
      <c r="D6" s="11"/>
      <c r="E6" s="11"/>
      <c r="F6" s="11"/>
      <c r="G6" s="11"/>
    </row>
    <row r="7" customFormat="false" ht="27.75" hidden="false" customHeight="true" outlineLevel="0" collapsed="false">
      <c r="A7" s="11"/>
      <c r="B7" s="11"/>
      <c r="C7" s="11"/>
      <c r="D7" s="11"/>
      <c r="E7" s="11"/>
      <c r="F7" s="11"/>
      <c r="G7" s="11"/>
    </row>
    <row r="8" customFormat="false" ht="27.75" hidden="false" customHeight="true" outlineLevel="0" collapsed="false">
      <c r="A8" s="11"/>
      <c r="B8" s="11"/>
      <c r="C8" s="11"/>
      <c r="D8" s="11"/>
      <c r="E8" s="11"/>
      <c r="F8" s="11"/>
      <c r="G8" s="11"/>
    </row>
    <row r="9" customFormat="false" ht="27.75" hidden="false" customHeight="true" outlineLevel="0" collapsed="false">
      <c r="A9" s="11"/>
      <c r="B9" s="11"/>
      <c r="C9" s="11"/>
      <c r="D9" s="11"/>
      <c r="E9" s="11"/>
      <c r="F9" s="11"/>
      <c r="G9" s="11"/>
    </row>
    <row r="10" customFormat="false" ht="27.75" hidden="false" customHeight="true" outlineLevel="0" collapsed="false">
      <c r="A10" s="11"/>
      <c r="B10" s="11"/>
      <c r="C10" s="11"/>
      <c r="D10" s="11"/>
      <c r="E10" s="11"/>
      <c r="F10" s="11"/>
      <c r="G10" s="11"/>
    </row>
    <row r="11" customFormat="false" ht="27.75" hidden="false" customHeight="true" outlineLevel="0" collapsed="false">
      <c r="A11" s="11"/>
      <c r="B11" s="11"/>
      <c r="C11" s="11"/>
      <c r="D11" s="11"/>
      <c r="E11" s="11"/>
      <c r="F11" s="11"/>
      <c r="G11" s="11"/>
    </row>
    <row r="12" customFormat="false" ht="27.75" hidden="false" customHeight="true" outlineLevel="0" collapsed="false">
      <c r="A12" s="11"/>
      <c r="B12" s="11"/>
      <c r="C12" s="11"/>
      <c r="D12" s="11"/>
      <c r="E12" s="11"/>
      <c r="F12" s="11"/>
      <c r="G12" s="11"/>
    </row>
    <row r="13" customFormat="false" ht="27.75" hidden="false" customHeight="true" outlineLevel="0" collapsed="false">
      <c r="A13" s="11"/>
      <c r="B13" s="11"/>
      <c r="C13" s="11"/>
      <c r="D13" s="11"/>
      <c r="E13" s="11"/>
      <c r="F13" s="11"/>
      <c r="G13" s="11"/>
    </row>
    <row r="14" customFormat="false" ht="27.75" hidden="false" customHeight="true" outlineLevel="0" collapsed="false">
      <c r="A14" s="11"/>
      <c r="B14" s="11"/>
      <c r="C14" s="11"/>
      <c r="D14" s="11"/>
      <c r="E14" s="11"/>
      <c r="F14" s="11"/>
      <c r="G14" s="11"/>
    </row>
    <row r="15" customFormat="false" ht="27.75" hidden="false" customHeight="true" outlineLevel="0" collapsed="false">
      <c r="A15" s="11"/>
      <c r="B15" s="11"/>
      <c r="C15" s="11"/>
      <c r="D15" s="11"/>
      <c r="E15" s="11"/>
      <c r="F15" s="11"/>
      <c r="G15" s="11"/>
    </row>
    <row r="16" customFormat="false" ht="27.75" hidden="false" customHeight="true" outlineLevel="0" collapsed="false">
      <c r="A16" s="11"/>
      <c r="B16" s="11"/>
      <c r="C16" s="11"/>
      <c r="D16" s="11"/>
      <c r="E16" s="11"/>
      <c r="F16" s="11"/>
      <c r="G16" s="11"/>
    </row>
    <row r="17" customFormat="false" ht="27.75" hidden="false" customHeight="true" outlineLevel="0" collapsed="false">
      <c r="A17" s="11"/>
      <c r="B17" s="11"/>
      <c r="C17" s="11"/>
      <c r="D17" s="11"/>
      <c r="E17" s="11"/>
      <c r="F17" s="11"/>
      <c r="G17" s="11"/>
    </row>
    <row r="18" customFormat="false" ht="27.75" hidden="false" customHeight="true" outlineLevel="0" collapsed="false">
      <c r="A18" s="11"/>
      <c r="B18" s="11"/>
      <c r="C18" s="11"/>
      <c r="D18" s="11"/>
      <c r="E18" s="11"/>
      <c r="F18" s="11"/>
      <c r="G18" s="11"/>
    </row>
    <row r="19" customFormat="false" ht="27.75" hidden="false" customHeight="true" outlineLevel="0" collapsed="false">
      <c r="A19" s="11"/>
      <c r="B19" s="11"/>
      <c r="C19" s="11"/>
      <c r="D19" s="11"/>
      <c r="E19" s="11"/>
      <c r="F19" s="11"/>
      <c r="G19" s="11"/>
    </row>
    <row r="20" customFormat="false" ht="27.75" hidden="false" customHeight="true" outlineLevel="0" collapsed="false">
      <c r="A20" s="11"/>
      <c r="B20" s="11"/>
      <c r="C20" s="11"/>
      <c r="D20" s="11"/>
      <c r="E20" s="11"/>
      <c r="F20" s="11"/>
      <c r="G20" s="11"/>
    </row>
    <row r="21" customFormat="false" ht="27.75" hidden="false" customHeight="true" outlineLevel="0" collapsed="false">
      <c r="A21" s="11"/>
      <c r="B21" s="11"/>
      <c r="C21" s="11"/>
      <c r="D21" s="11"/>
      <c r="E21" s="11"/>
      <c r="F21" s="11"/>
      <c r="G21" s="11"/>
    </row>
    <row r="22" customFormat="false" ht="27.75" hidden="false" customHeight="true" outlineLevel="0" collapsed="false">
      <c r="A22" s="11"/>
      <c r="B22" s="11"/>
      <c r="C22" s="11"/>
      <c r="D22" s="11"/>
      <c r="E22" s="11"/>
      <c r="F22" s="11"/>
      <c r="G22" s="11"/>
    </row>
    <row r="23" customFormat="false" ht="27.75" hidden="false" customHeight="true" outlineLevel="0" collapsed="false">
      <c r="A23" s="11"/>
      <c r="B23" s="11"/>
      <c r="C23" s="11"/>
      <c r="D23" s="11"/>
      <c r="E23" s="11"/>
      <c r="F23" s="11"/>
      <c r="G23" s="11"/>
    </row>
    <row r="24" customFormat="false" ht="27.75" hidden="false" customHeight="true" outlineLevel="0" collapsed="false">
      <c r="A24" s="11"/>
      <c r="B24" s="11"/>
      <c r="C24" s="11"/>
      <c r="D24" s="11"/>
      <c r="E24" s="11"/>
      <c r="F24" s="11"/>
      <c r="G24" s="11"/>
    </row>
  </sheetData>
  <mergeCells count="2">
    <mergeCell ref="A1:G1"/>
    <mergeCell ref="A2:G2"/>
  </mergeCells>
  <dataValidations count="3">
    <dataValidation allowBlank="true" errorStyle="stop" operator="between" showDropDown="false" showErrorMessage="false" showInputMessage="false" sqref="B5:B24" type="list">
      <formula1>"PNG,SVG,MP3"</formula1>
      <formula2>0</formula2>
    </dataValidation>
    <dataValidation allowBlank="true" errorStyle="stop" operator="between" showDropDown="false" showErrorMessage="false" showInputMessage="false" sqref="C5:C24" type="list">
      <formula1>"1,2,3,4,5,Capstone,globální"</formula1>
      <formula2>0</formula2>
    </dataValidation>
    <dataValidation allowBlank="true" errorStyle="stop" operator="between" showDropDown="false" showErrorMessage="false" showInputMessage="false" sqref="D5:D24" type="list">
      <formula1>"F1,F2,F3,F4,napříč"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247</v>
      </c>
      <c r="B1" s="1"/>
      <c r="C1" s="1"/>
      <c r="D1" s="1"/>
      <c r="E1" s="1"/>
      <c r="F1" s="1"/>
      <c r="G1" s="1"/>
    </row>
    <row r="2" customFormat="false" ht="60" hidden="false" customHeight="true" outlineLevel="0" collapsed="false">
      <c r="A2" s="8" t="s">
        <v>248</v>
      </c>
      <c r="B2" s="8"/>
      <c r="C2" s="8"/>
      <c r="D2" s="8"/>
      <c r="E2" s="8"/>
      <c r="F2" s="8"/>
      <c r="G2" s="8"/>
    </row>
    <row r="4" customFormat="false" ht="19.5" hidden="false" customHeight="true" outlineLevel="0" collapsed="false">
      <c r="A4" s="9" t="s">
        <v>249</v>
      </c>
      <c r="B4" s="9"/>
      <c r="C4" s="9"/>
      <c r="D4" s="9"/>
      <c r="E4" s="9"/>
      <c r="F4" s="9"/>
      <c r="G4" s="9"/>
    </row>
    <row r="5" customFormat="false" ht="37.5" hidden="false" customHeight="true" outlineLevel="0" collapsed="false">
      <c r="A5" s="3" t="s">
        <v>250</v>
      </c>
      <c r="B5" s="10"/>
      <c r="C5" s="10"/>
      <c r="D5" s="10"/>
      <c r="E5" s="10"/>
      <c r="F5" s="10"/>
      <c r="G5" s="10"/>
    </row>
    <row r="6" customFormat="false" ht="37.5" hidden="false" customHeight="true" outlineLevel="0" collapsed="false">
      <c r="A6" s="3" t="s">
        <v>251</v>
      </c>
      <c r="B6" s="10"/>
      <c r="C6" s="10"/>
      <c r="D6" s="10"/>
      <c r="E6" s="10"/>
      <c r="F6" s="10"/>
      <c r="G6" s="10"/>
    </row>
    <row r="7" customFormat="false" ht="37.5" hidden="false" customHeight="true" outlineLevel="0" collapsed="false">
      <c r="A7" s="3" t="s">
        <v>252</v>
      </c>
      <c r="B7" s="10"/>
      <c r="C7" s="10"/>
      <c r="D7" s="10"/>
      <c r="E7" s="10"/>
      <c r="F7" s="10"/>
      <c r="G7" s="10"/>
    </row>
    <row r="9" customFormat="false" ht="19.5" hidden="false" customHeight="true" outlineLevel="0" collapsed="false">
      <c r="A9" s="9" t="s">
        <v>253</v>
      </c>
      <c r="B9" s="9"/>
      <c r="C9" s="9"/>
      <c r="D9" s="9"/>
      <c r="E9" s="9"/>
      <c r="F9" s="9"/>
      <c r="G9" s="9"/>
    </row>
    <row r="10" customFormat="false" ht="26.85" hidden="false" customHeight="false" outlineLevel="0" collapsed="false">
      <c r="A10" s="12" t="s">
        <v>254</v>
      </c>
      <c r="B10" s="12" t="s">
        <v>255</v>
      </c>
      <c r="C10" s="12" t="s">
        <v>256</v>
      </c>
      <c r="D10" s="12" t="s">
        <v>257</v>
      </c>
      <c r="E10" s="12" t="s">
        <v>258</v>
      </c>
      <c r="F10" s="12" t="s">
        <v>259</v>
      </c>
      <c r="G10" s="12" t="s">
        <v>260</v>
      </c>
    </row>
    <row r="11" customFormat="false" ht="54.75" hidden="false" customHeight="true" outlineLevel="0" collapsed="false">
      <c r="A11" s="6" t="s">
        <v>261</v>
      </c>
      <c r="B11" s="11"/>
      <c r="C11" s="11"/>
      <c r="D11" s="11"/>
      <c r="E11" s="11"/>
      <c r="F11" s="11"/>
      <c r="G11" s="11"/>
    </row>
    <row r="12" customFormat="false" ht="54.75" hidden="false" customHeight="true" outlineLevel="0" collapsed="false">
      <c r="A12" s="6" t="s">
        <v>262</v>
      </c>
      <c r="B12" s="11"/>
      <c r="C12" s="11"/>
      <c r="D12" s="11"/>
      <c r="E12" s="11"/>
      <c r="F12" s="11"/>
      <c r="G12" s="11"/>
    </row>
    <row r="13" customFormat="false" ht="54.75" hidden="false" customHeight="true" outlineLevel="0" collapsed="false">
      <c r="A13" s="6" t="s">
        <v>263</v>
      </c>
      <c r="B13" s="11"/>
      <c r="C13" s="11"/>
      <c r="D13" s="11"/>
      <c r="E13" s="11"/>
      <c r="F13" s="11"/>
      <c r="G13" s="11"/>
    </row>
    <row r="14" customFormat="false" ht="54.75" hidden="false" customHeight="true" outlineLevel="0" collapsed="false">
      <c r="A14" s="6" t="s">
        <v>264</v>
      </c>
      <c r="B14" s="11"/>
      <c r="C14" s="11"/>
      <c r="D14" s="11"/>
      <c r="E14" s="11"/>
      <c r="F14" s="11"/>
      <c r="G14" s="11"/>
    </row>
    <row r="15" customFormat="false" ht="54.75" hidden="false" customHeight="true" outlineLevel="0" collapsed="false">
      <c r="A15" s="6" t="s">
        <v>265</v>
      </c>
      <c r="B15" s="11"/>
      <c r="C15" s="11"/>
      <c r="D15" s="11"/>
      <c r="E15" s="11"/>
      <c r="F15" s="11"/>
      <c r="G15" s="11"/>
    </row>
    <row r="17" customFormat="false" ht="19.5" hidden="false" customHeight="true" outlineLevel="0" collapsed="false">
      <c r="A17" s="9" t="s">
        <v>266</v>
      </c>
      <c r="B17" s="9"/>
      <c r="C17" s="9"/>
      <c r="D17" s="9"/>
      <c r="E17" s="9"/>
      <c r="F17" s="9"/>
      <c r="G17" s="9"/>
    </row>
    <row r="18" customFormat="false" ht="15" hidden="false" customHeight="true" outlineLevel="0" collapsed="false">
      <c r="A18" s="12" t="s">
        <v>267</v>
      </c>
      <c r="B18" s="12" t="s">
        <v>268</v>
      </c>
      <c r="C18" s="12"/>
      <c r="D18" s="12"/>
      <c r="E18" s="12"/>
      <c r="F18" s="12"/>
      <c r="G18" s="12"/>
    </row>
    <row r="19" customFormat="false" ht="39.75" hidden="false" customHeight="true" outlineLevel="0" collapsed="false">
      <c r="A19" s="6" t="s">
        <v>269</v>
      </c>
      <c r="B19" s="15"/>
      <c r="C19" s="15"/>
      <c r="D19" s="15"/>
      <c r="E19" s="15"/>
      <c r="F19" s="15"/>
      <c r="G19" s="15"/>
    </row>
    <row r="20" customFormat="false" ht="39.75" hidden="false" customHeight="true" outlineLevel="0" collapsed="false">
      <c r="A20" s="6" t="s">
        <v>270</v>
      </c>
      <c r="B20" s="15"/>
      <c r="C20" s="15"/>
      <c r="D20" s="15"/>
      <c r="E20" s="15"/>
      <c r="F20" s="15"/>
      <c r="G20" s="15"/>
    </row>
    <row r="21" customFormat="false" ht="39.75" hidden="false" customHeight="true" outlineLevel="0" collapsed="false">
      <c r="A21" s="6" t="s">
        <v>271</v>
      </c>
      <c r="B21" s="15"/>
      <c r="C21" s="15"/>
      <c r="D21" s="15"/>
      <c r="E21" s="15"/>
      <c r="F21" s="15"/>
      <c r="G21" s="15"/>
    </row>
  </sheetData>
  <mergeCells count="12">
    <mergeCell ref="A1:G1"/>
    <mergeCell ref="A2:G2"/>
    <mergeCell ref="A4:G4"/>
    <mergeCell ref="B5:G5"/>
    <mergeCell ref="B6:G6"/>
    <mergeCell ref="B7:G7"/>
    <mergeCell ref="A9:G9"/>
    <mergeCell ref="A17:G17"/>
    <mergeCell ref="B18:G18"/>
    <mergeCell ref="B19:G19"/>
    <mergeCell ref="B20:G20"/>
    <mergeCell ref="B21:G21"/>
  </mergeCells>
  <dataValidations count="2">
    <dataValidation allowBlank="true" errorStyle="stop" operator="between" showDropDown="false" showErrorMessage="false" showInputMessage="false" sqref="B5:G5" type="list">
      <formula1>"Hodnocení artefaktu,Výsledky kurzu (sebehodnocení)"</formula1>
      <formula2>0</formula2>
    </dataValidation>
    <dataValidation allowBlank="true" errorStyle="stop" operator="between" showDropDown="false" showErrorMessage="false" showInputMessage="false" sqref="B6:G6" type="list">
      <formula1>"Uživatel (sebehodnocení),Lektor,Garant,AI,Kombinace"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5"/>
    <col collapsed="false" customWidth="true" hidden="false" outlineLevel="0" max="3" min="3" style="0" width="5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272</v>
      </c>
      <c r="B1" s="1"/>
      <c r="C1" s="1"/>
      <c r="D1" s="1"/>
    </row>
    <row r="2" customFormat="false" ht="31.5" hidden="false" customHeight="true" outlineLevel="0" collapsed="false">
      <c r="A2" s="8" t="s">
        <v>273</v>
      </c>
      <c r="B2" s="8"/>
      <c r="C2" s="8"/>
      <c r="D2" s="8"/>
    </row>
    <row r="4" customFormat="false" ht="37.5" hidden="false" customHeight="true" outlineLevel="0" collapsed="false">
      <c r="A4" s="3" t="s">
        <v>274</v>
      </c>
      <c r="B4" s="10"/>
      <c r="C4" s="10"/>
      <c r="D4" s="10"/>
    </row>
    <row r="5" customFormat="false" ht="37.5" hidden="false" customHeight="true" outlineLevel="0" collapsed="false">
      <c r="A5" s="3" t="s">
        <v>275</v>
      </c>
      <c r="B5" s="10"/>
      <c r="C5" s="10"/>
      <c r="D5" s="10"/>
    </row>
    <row r="6" customFormat="false" ht="37.5" hidden="false" customHeight="true" outlineLevel="0" collapsed="false">
      <c r="A6" s="3" t="s">
        <v>276</v>
      </c>
      <c r="B6" s="10"/>
      <c r="C6" s="10"/>
      <c r="D6" s="10"/>
    </row>
    <row r="7" customFormat="false" ht="37.5" hidden="false" customHeight="true" outlineLevel="0" collapsed="false">
      <c r="A7" s="3" t="s">
        <v>277</v>
      </c>
      <c r="B7" s="10"/>
      <c r="C7" s="10"/>
      <c r="D7" s="10"/>
    </row>
  </sheetData>
  <mergeCells count="6">
    <mergeCell ref="A1:D1"/>
    <mergeCell ref="A2:D2"/>
    <mergeCell ref="B4:D4"/>
    <mergeCell ref="B5:D5"/>
    <mergeCell ref="B6:D6"/>
    <mergeCell ref="B7:D7"/>
  </mergeCells>
  <dataValidations count="1">
    <dataValidation allowBlank="true" errorStyle="stop" operator="between" showDropDown="false" showErrorMessage="false" showInputMessage="false" sqref="B5:D7" type="list">
      <formula1>"ano,ne"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27.75" hidden="false" customHeight="true" outlineLevel="0" collapsed="false">
      <c r="A1" s="1" t="s">
        <v>278</v>
      </c>
      <c r="B1" s="1"/>
      <c r="C1" s="1"/>
      <c r="D1" s="1"/>
      <c r="E1" s="1"/>
    </row>
    <row r="2" customFormat="false" ht="31.5" hidden="false" customHeight="true" outlineLevel="0" collapsed="false">
      <c r="A2" s="8" t="s">
        <v>279</v>
      </c>
      <c r="B2" s="8"/>
      <c r="C2" s="8"/>
      <c r="D2" s="8"/>
      <c r="E2" s="8"/>
    </row>
    <row r="4" customFormat="false" ht="26.85" hidden="false" customHeight="false" outlineLevel="0" collapsed="false">
      <c r="A4" s="12" t="s">
        <v>236</v>
      </c>
      <c r="B4" s="12" t="s">
        <v>280</v>
      </c>
      <c r="C4" s="12" t="s">
        <v>281</v>
      </c>
      <c r="D4" s="12" t="s">
        <v>282</v>
      </c>
      <c r="E4" s="12" t="s">
        <v>283</v>
      </c>
    </row>
    <row r="5" customFormat="false" ht="21.75" hidden="false" customHeight="true" outlineLevel="0" collapsed="false">
      <c r="A5" s="14" t="n">
        <v>1</v>
      </c>
      <c r="B5" s="3" t="s">
        <v>284</v>
      </c>
      <c r="C5" s="16" t="str">
        <f aca="false">IF(1_Identifikace!B5="","CHYBĚJÍCÍ",IF(1_Identifikace!B5=1_Identifikace!B5,"OK","CHYBA"))</f>
        <v>CHYBĚJÍCÍ</v>
      </c>
      <c r="D5" s="13"/>
      <c r="E5" s="11"/>
    </row>
    <row r="6" customFormat="false" ht="21.75" hidden="false" customHeight="true" outlineLevel="0" collapsed="false">
      <c r="A6" s="14" t="n">
        <v>2</v>
      </c>
      <c r="B6" s="3" t="s">
        <v>285</v>
      </c>
      <c r="C6" s="16" t="str">
        <f aca="false">IF(1_Identifikace!B5="","CHYBĚJÍCÍ",IF(AND(LEN(1_Identifikace!B5)=5,ISNUMBER(VALUE(MID(1_Identifikace!B5,2,4)))),"OK","CHYBA FORMÁTU"))</f>
        <v>CHYBĚJÍCÍ</v>
      </c>
      <c r="D6" s="13"/>
      <c r="E6" s="11"/>
    </row>
    <row r="7" customFormat="false" ht="21.75" hidden="false" customHeight="true" outlineLevel="0" collapsed="false">
      <c r="A7" s="14" t="n">
        <v>3</v>
      </c>
      <c r="B7" s="3" t="s">
        <v>286</v>
      </c>
      <c r="C7" s="16" t="str">
        <f aca="false">IF(1_Identifikace!B7="","CHYBĚJÍCÍ","OK")</f>
        <v>CHYBĚJÍCÍ</v>
      </c>
      <c r="D7" s="13"/>
      <c r="E7" s="11"/>
    </row>
    <row r="8" customFormat="false" ht="21.75" hidden="false" customHeight="true" outlineLevel="0" collapsed="false">
      <c r="A8" s="14" t="n">
        <v>4</v>
      </c>
      <c r="B8" s="3" t="s">
        <v>287</v>
      </c>
      <c r="C8" s="16" t="str">
        <f aca="false">IF(1_Identifikace!B7="","CHYBĚJÍCÍ",IF(ISERROR(FIND(" ",1_Identifikace!B7)),"OK","OBSAHUJE MEZERU"))</f>
        <v>CHYBĚJÍCÍ</v>
      </c>
      <c r="D8" s="13"/>
      <c r="E8" s="11"/>
    </row>
    <row r="9" customFormat="false" ht="21.75" hidden="false" customHeight="true" outlineLevel="0" collapsed="false">
      <c r="A9" s="14" t="n">
        <v>5</v>
      </c>
      <c r="B9" s="3" t="s">
        <v>288</v>
      </c>
      <c r="C9" s="16" t="str">
        <f aca="false">IF(1_Identifikace!B8="","CHYBĚJÍCÍ","OK")</f>
        <v>CHYBĚJÍCÍ</v>
      </c>
      <c r="D9" s="13"/>
      <c r="E9" s="11"/>
    </row>
    <row r="10" customFormat="false" ht="21.75" hidden="false" customHeight="true" outlineLevel="0" collapsed="false">
      <c r="A10" s="14" t="n">
        <v>6</v>
      </c>
      <c r="B10" s="3" t="s">
        <v>289</v>
      </c>
      <c r="C10" s="16" t="str">
        <f aca="false">IF(1_Identifikace!B9="","CHYBĚJÍCÍ","OK")</f>
        <v>CHYBĚJÍCÍ</v>
      </c>
      <c r="D10" s="13"/>
      <c r="E10" s="11"/>
    </row>
    <row r="11" customFormat="false" ht="21.75" hidden="false" customHeight="true" outlineLevel="0" collapsed="false">
      <c r="A11" s="14" t="n">
        <v>7</v>
      </c>
      <c r="B11" s="3" t="s">
        <v>290</v>
      </c>
      <c r="C11" s="16" t="str">
        <f aca="false">IF(1_Identifikace!B18="","CHYBĚJÍCÍ","OK")</f>
        <v>CHYBĚJÍCÍ</v>
      </c>
      <c r="D11" s="13"/>
      <c r="E11" s="11"/>
    </row>
    <row r="12" customFormat="false" ht="21.75" hidden="false" customHeight="true" outlineLevel="0" collapsed="false">
      <c r="A12" s="14" t="n">
        <v>8</v>
      </c>
      <c r="B12" s="3" t="s">
        <v>291</v>
      </c>
      <c r="C12" s="16" t="str">
        <f aca="false">IF(1_Identifikace!B15="","CHYBĚJÍCÍ","OK")</f>
        <v>CHYBĚJÍCÍ</v>
      </c>
      <c r="D12" s="13"/>
      <c r="E12" s="11"/>
    </row>
    <row r="13" customFormat="false" ht="21.75" hidden="false" customHeight="true" outlineLevel="0" collapsed="false">
      <c r="A13" s="14" t="n">
        <v>9</v>
      </c>
      <c r="B13" s="3" t="s">
        <v>292</v>
      </c>
      <c r="C13" s="16" t="str">
        <f aca="false">IF(1_Identifikace!B29="","CHYBĚJÍCÍ","OK")</f>
        <v>CHYBĚJÍCÍ</v>
      </c>
      <c r="D13" s="13"/>
      <c r="E13" s="11"/>
    </row>
    <row r="14" customFormat="false" ht="21.75" hidden="false" customHeight="true" outlineLevel="0" collapsed="false">
      <c r="A14" s="14" t="n">
        <v>10</v>
      </c>
      <c r="B14" s="3" t="s">
        <v>293</v>
      </c>
      <c r="C14" s="16" t="str">
        <f aca="false">IF(1_Identifikace!B30="","CHYBĚJÍCÍ","OK")</f>
        <v>CHYBĚJÍCÍ</v>
      </c>
      <c r="D14" s="13"/>
      <c r="E14" s="11"/>
    </row>
    <row r="15" customFormat="false" ht="21.75" hidden="false" customHeight="true" outlineLevel="0" collapsed="false">
      <c r="A15" s="14" t="n">
        <v>11</v>
      </c>
      <c r="B15" s="3" t="s">
        <v>294</v>
      </c>
      <c r="C15" s="16" t="str">
        <f aca="false">IF(1_Identifikace!B45="","CHYBĚJÍCÍ","OK")</f>
        <v>CHYBĚJÍCÍ</v>
      </c>
      <c r="D15" s="13"/>
      <c r="E15" s="11"/>
    </row>
    <row r="16" customFormat="false" ht="21.75" hidden="false" customHeight="true" outlineLevel="0" collapsed="false">
      <c r="A16" s="14" t="n">
        <v>12</v>
      </c>
      <c r="B16" s="3" t="s">
        <v>295</v>
      </c>
      <c r="C16" s="16" t="str">
        <f aca="false">IF(COUNTA(2_GOALS!C5:C10)&gt;0,"OK","ŽÁDNÝ GOAL NEVYPLNĚN")</f>
        <v>ŽÁDNÝ GOAL NEVYPLNĚN</v>
      </c>
      <c r="D16" s="13"/>
      <c r="E16" s="11"/>
    </row>
    <row r="17" customFormat="false" ht="21.75" hidden="false" customHeight="true" outlineLevel="0" collapsed="false">
      <c r="A17" s="14" t="n">
        <v>13</v>
      </c>
      <c r="B17" s="3" t="s">
        <v>296</v>
      </c>
      <c r="C17" s="16" t="str">
        <f aca="false">IF(COUNTA(3_OBJECTIVES!A5:A24)&gt;0,"OK","ŽÁDNÝ OBJECTIVE NEVYPLNĚN")</f>
        <v>ŽÁDNÝ OBJECTIVE NEVYPLNĚN</v>
      </c>
      <c r="D17" s="13"/>
      <c r="E17" s="11"/>
    </row>
    <row r="18" customFormat="false" ht="21.75" hidden="false" customHeight="true" outlineLevel="0" collapsed="false">
      <c r="A18" s="14" t="n">
        <v>14</v>
      </c>
      <c r="B18" s="3" t="s">
        <v>297</v>
      </c>
      <c r="C18" s="16" t="str">
        <f aca="false">IF(COUNTA(3_OBJECTIVES!A5:A24)=SUMPRODUCT((3_OBJECTIVES!A5:A24&lt;&gt;"")/COUNTIF(3_OBJECTIVES!A5:A24,3_OBJECTIVES!A5:A24&amp;"")),"OK","DUPLICITNÍ ID")</f>
        <v>OK</v>
      </c>
      <c r="D18" s="13"/>
      <c r="E18" s="11"/>
    </row>
    <row r="19" customFormat="false" ht="21.75" hidden="false" customHeight="true" outlineLevel="0" collapsed="false">
      <c r="A19" s="14" t="n">
        <v>15</v>
      </c>
      <c r="B19" s="3" t="s">
        <v>298</v>
      </c>
      <c r="C19" s="16" t="str">
        <f aca="false">IF(COUNTIF(5_Neuroved_kurz!A5:A24,"X")&gt;0,"OK","ŽÁDNÝ PRINCIP NEOZNAČEN")</f>
        <v>ŽÁDNÝ PRINCIP NEOZNAČEN</v>
      </c>
      <c r="D19" s="13"/>
      <c r="E19" s="11"/>
    </row>
    <row r="20" customFormat="false" ht="21.75" hidden="false" customHeight="true" outlineLevel="0" collapsed="false">
      <c r="A20" s="14" t="n">
        <v>16</v>
      </c>
      <c r="B20" s="3" t="s">
        <v>299</v>
      </c>
      <c r="C20" s="16" t="str">
        <f aca="false">IF(COUNTIF(6_AI_principy!A4:A9,"X")+COUNTIF(6_AI_principy!C4:C9,"X")&gt;0,"OK","ŽÁDNÝ AI PRINCIP")</f>
        <v>ŽÁDNÝ AI PRINCIP</v>
      </c>
      <c r="D20" s="13"/>
      <c r="E20" s="11"/>
    </row>
    <row r="21" customFormat="false" ht="21.75" hidden="false" customHeight="true" outlineLevel="0" collapsed="false">
      <c r="A21" s="14" t="n">
        <v>17</v>
      </c>
      <c r="B21" s="3" t="s">
        <v>300</v>
      </c>
      <c r="C21" s="16" t="str">
        <f aca="false">IF(COUNTIF(7_KRAUU_kurz!A5:A22,"X")&gt;0,"OK","ŽÁDNÁ KOMPETENCE")</f>
        <v>ŽÁDNÁ KOMPETENCE</v>
      </c>
      <c r="D21" s="13"/>
      <c r="E21" s="11"/>
    </row>
    <row r="22" customFormat="false" ht="21.75" hidden="false" customHeight="true" outlineLevel="0" collapsed="false">
      <c r="A22" s="14" t="n">
        <v>18</v>
      </c>
      <c r="B22" s="3" t="s">
        <v>301</v>
      </c>
      <c r="C22" s="16" t="str">
        <f aca="false">IF(COUNTA(8_Vzory_antipatterns!A5:A19)&gt;0,"OK","ŽÁDNÉ PRAVIDLO")</f>
        <v>ŽÁDNÉ PRAVIDLO</v>
      </c>
      <c r="D22" s="13"/>
      <c r="E22" s="11"/>
    </row>
    <row r="23" customFormat="false" ht="21.75" hidden="false" customHeight="true" outlineLevel="0" collapsed="false">
      <c r="A23" s="14" t="n">
        <v>19</v>
      </c>
      <c r="B23" s="3" t="s">
        <v>302</v>
      </c>
      <c r="C23" s="16" t="str">
        <f aca="false">IF(9_Artefakt!B5="","CHYBĚJÍCÍ","OK")</f>
        <v>CHYBĚJÍCÍ</v>
      </c>
      <c r="D23" s="13"/>
      <c r="E23" s="11"/>
    </row>
    <row r="24" customFormat="false" ht="21.75" hidden="false" customHeight="true" outlineLevel="0" collapsed="false">
      <c r="A24" s="14" t="n">
        <v>20</v>
      </c>
      <c r="B24" s="3" t="s">
        <v>303</v>
      </c>
      <c r="C24" s="16" t="str">
        <f aca="false">IF(9_Artefakt!B6="","CHYBĚJÍCÍ","OK")</f>
        <v>CHYBĚJÍCÍ</v>
      </c>
      <c r="D24" s="13"/>
      <c r="E24" s="11"/>
    </row>
    <row r="25" customFormat="false" ht="21.75" hidden="false" customHeight="true" outlineLevel="0" collapsed="false">
      <c r="A25" s="14" t="n">
        <v>21</v>
      </c>
      <c r="B25" s="3" t="s">
        <v>304</v>
      </c>
      <c r="C25" s="16" t="str">
        <f aca="false">IF(11_Rubrika!B6="","CHYBĚJÍCÍ","OK")</f>
        <v>CHYBĚJÍCÍ</v>
      </c>
      <c r="D25" s="13"/>
      <c r="E25" s="11"/>
    </row>
    <row r="26" customFormat="false" ht="21.75" hidden="false" customHeight="true" outlineLevel="0" collapsed="false">
      <c r="A26" s="14" t="n">
        <v>22</v>
      </c>
      <c r="B26" s="3" t="s">
        <v>305</v>
      </c>
      <c r="C26" s="16" t="str">
        <f aca="false">IF(COUNTA(11_Rubrika!B11:B15)=5,"OK","NEKOMPLETNÍ")</f>
        <v>NEKOMPLETNÍ</v>
      </c>
      <c r="D26" s="13"/>
      <c r="E26" s="11"/>
    </row>
    <row r="27" customFormat="false" ht="21.75" hidden="false" customHeight="true" outlineLevel="0" collapsed="false">
      <c r="A27" s="14" t="n">
        <v>23</v>
      </c>
      <c r="B27" s="3" t="s">
        <v>306</v>
      </c>
      <c r="C27" s="16" t="str">
        <f aca="false">IF(11_Rubrika!B19="","CHYBĚJÍCÍ","OK")</f>
        <v>CHYBĚJÍCÍ</v>
      </c>
      <c r="D27" s="13"/>
      <c r="E27" s="11"/>
    </row>
    <row r="28" customFormat="false" ht="21.75" hidden="false" customHeight="true" outlineLevel="0" collapsed="false">
      <c r="A28" s="14" t="n">
        <v>24</v>
      </c>
      <c r="B28" s="3" t="s">
        <v>307</v>
      </c>
      <c r="C28" s="16" t="str">
        <f aca="false">IF(11_Rubrika!B20="","CHYBĚJÍCÍ","OK")</f>
        <v>CHYBĚJÍCÍ</v>
      </c>
      <c r="D28" s="13"/>
      <c r="E28" s="11"/>
    </row>
    <row r="29" customFormat="false" ht="21.75" hidden="false" customHeight="true" outlineLevel="0" collapsed="false">
      <c r="A29" s="14" t="n">
        <v>25</v>
      </c>
      <c r="B29" s="3" t="s">
        <v>308</v>
      </c>
      <c r="C29" s="16" t="str">
        <f aca="false">IF(M1!B4="","CHYBĚJÍCÍ","OK")</f>
        <v>CHYBĚJÍCÍ</v>
      </c>
      <c r="D29" s="13"/>
      <c r="E29" s="11"/>
    </row>
    <row r="30" customFormat="false" ht="21.75" hidden="false" customHeight="true" outlineLevel="0" collapsed="false">
      <c r="A30" s="14" t="n">
        <v>26</v>
      </c>
      <c r="B30" s="3" t="s">
        <v>309</v>
      </c>
      <c r="C30" s="16" t="str">
        <f aca="false">IF(M1!B6="","CHYBĚJÍCÍ","OK")</f>
        <v>CHYBĚJÍCÍ</v>
      </c>
      <c r="D30" s="13"/>
      <c r="E30" s="11"/>
    </row>
    <row r="31" customFormat="false" ht="21.75" hidden="false" customHeight="true" outlineLevel="0" collapsed="false">
      <c r="A31" s="14" t="n">
        <v>27</v>
      </c>
      <c r="B31" s="3" t="s">
        <v>310</v>
      </c>
      <c r="C31" s="16" t="str">
        <f aca="false">IF(M2!B4="","CHYBĚJÍCÍ","OK")</f>
        <v>CHYBĚJÍCÍ</v>
      </c>
      <c r="D31" s="13"/>
      <c r="E31" s="11"/>
    </row>
    <row r="32" customFormat="false" ht="21.75" hidden="false" customHeight="true" outlineLevel="0" collapsed="false">
      <c r="A32" s="14" t="n">
        <v>28</v>
      </c>
      <c r="B32" s="3" t="s">
        <v>311</v>
      </c>
      <c r="C32" s="16" t="str">
        <f aca="false">IF(M3!B4="","CHYBĚJÍCÍ","OK")</f>
        <v>CHYBĚJÍCÍ</v>
      </c>
      <c r="D32" s="13"/>
      <c r="E32" s="11"/>
    </row>
    <row r="33" customFormat="false" ht="21.75" hidden="false" customHeight="true" outlineLevel="0" collapsed="false">
      <c r="A33" s="14" t="n">
        <v>29</v>
      </c>
      <c r="B33" s="3" t="s">
        <v>312</v>
      </c>
      <c r="C33" s="16" t="str">
        <f aca="false">IF(M4!B4="","CHYBĚJÍCÍ","OK")</f>
        <v>CHYBĚJÍCÍ</v>
      </c>
      <c r="D33" s="13"/>
      <c r="E33" s="11"/>
    </row>
    <row r="34" customFormat="false" ht="21.75" hidden="false" customHeight="true" outlineLevel="0" collapsed="false">
      <c r="A34" s="14" t="n">
        <v>30</v>
      </c>
      <c r="B34" s="3" t="s">
        <v>313</v>
      </c>
      <c r="C34" s="16" t="str">
        <f aca="false">IF(M5!B4="","CHYBĚJÍCÍ","OK")</f>
        <v>CHYBĚJÍCÍ</v>
      </c>
      <c r="D34" s="13"/>
      <c r="E34" s="11"/>
    </row>
    <row r="35" customFormat="false" ht="21.75" hidden="false" customHeight="true" outlineLevel="0" collapsed="false">
      <c r="A35" s="14" t="n">
        <v>31</v>
      </c>
      <c r="B35" s="3" t="s">
        <v>314</v>
      </c>
      <c r="C35" s="16" t="str">
        <f aca="false">IF(Capstone!B4="","CHYBĚJÍCÍ","OK")</f>
        <v>CHYBĚJÍCÍ</v>
      </c>
      <c r="D35" s="13"/>
      <c r="E35" s="11"/>
    </row>
    <row r="36" customFormat="false" ht="21.75" hidden="false" customHeight="true" outlineLevel="0" collapsed="false">
      <c r="A36" s="14" t="n">
        <v>32</v>
      </c>
      <c r="B36" s="3" t="s">
        <v>315</v>
      </c>
      <c r="C36" s="16" t="s">
        <v>316</v>
      </c>
      <c r="D36" s="13"/>
      <c r="E36" s="11"/>
    </row>
    <row r="37" customFormat="false" ht="21.75" hidden="false" customHeight="true" outlineLevel="0" collapsed="false">
      <c r="A37" s="14" t="n">
        <v>33</v>
      </c>
      <c r="B37" s="3" t="s">
        <v>317</v>
      </c>
      <c r="C37" s="16" t="s">
        <v>316</v>
      </c>
      <c r="D37" s="13"/>
      <c r="E37" s="11"/>
    </row>
    <row r="38" customFormat="false" ht="21.75" hidden="false" customHeight="true" outlineLevel="0" collapsed="false">
      <c r="A38" s="14" t="n">
        <v>34</v>
      </c>
      <c r="B38" s="3" t="s">
        <v>318</v>
      </c>
      <c r="C38" s="16" t="s">
        <v>316</v>
      </c>
      <c r="D38" s="13"/>
      <c r="E38" s="11"/>
    </row>
    <row r="39" customFormat="false" ht="21.75" hidden="false" customHeight="true" outlineLevel="0" collapsed="false">
      <c r="A39" s="14" t="n">
        <v>35</v>
      </c>
      <c r="B39" s="3" t="s">
        <v>319</v>
      </c>
      <c r="C39" s="16" t="s">
        <v>316</v>
      </c>
      <c r="D39" s="13"/>
      <c r="E39" s="11"/>
    </row>
    <row r="40" customFormat="false" ht="21.75" hidden="false" customHeight="true" outlineLevel="0" collapsed="false">
      <c r="A40" s="14" t="n">
        <v>36</v>
      </c>
      <c r="B40" s="3" t="s">
        <v>320</v>
      </c>
      <c r="C40" s="16" t="s">
        <v>316</v>
      </c>
      <c r="D40" s="13"/>
      <c r="E40" s="11"/>
    </row>
    <row r="41" customFormat="false" ht="21.75" hidden="false" customHeight="true" outlineLevel="0" collapsed="false">
      <c r="A41" s="14" t="n">
        <v>37</v>
      </c>
      <c r="B41" s="3" t="s">
        <v>321</v>
      </c>
      <c r="C41" s="16" t="s">
        <v>316</v>
      </c>
      <c r="D41" s="13"/>
      <c r="E41" s="11"/>
    </row>
    <row r="42" customFormat="false" ht="21.75" hidden="false" customHeight="true" outlineLevel="0" collapsed="false">
      <c r="A42" s="14" t="n">
        <v>38</v>
      </c>
      <c r="B42" s="3" t="s">
        <v>322</v>
      </c>
      <c r="C42" s="16" t="s">
        <v>316</v>
      </c>
      <c r="D42" s="13"/>
      <c r="E42" s="11"/>
    </row>
    <row r="43" customFormat="false" ht="21.75" hidden="false" customHeight="true" outlineLevel="0" collapsed="false">
      <c r="A43" s="14" t="n">
        <v>39</v>
      </c>
      <c r="B43" s="3" t="s">
        <v>323</v>
      </c>
      <c r="C43" s="16" t="s">
        <v>316</v>
      </c>
      <c r="D43" s="13"/>
      <c r="E43" s="11"/>
    </row>
    <row r="45" customFormat="false" ht="39.55" hidden="false" customHeight="false" outlineLevel="0" collapsed="false">
      <c r="A45" s="17" t="s">
        <v>324</v>
      </c>
      <c r="B45" s="6" t="s">
        <v>325</v>
      </c>
      <c r="C45" s="18" t="str">
        <f aca="false">COUNTIF(C5:C43,"OK")&amp;" / "&amp;COUNTIF(C5:C43,"&lt;&gt;"&amp;"—")</f>
        <v>1 / 31</v>
      </c>
      <c r="D45" s="18" t="str">
        <f aca="false">COUNTIF(D5:D43,"OK")&amp;" / 39"</f>
        <v>0 / 39</v>
      </c>
      <c r="E45" s="11"/>
    </row>
  </sheetData>
  <mergeCells count="2">
    <mergeCell ref="A1:E1"/>
    <mergeCell ref="A2:E2"/>
  </mergeCells>
  <conditionalFormatting sqref="C5:C43">
    <cfRule type="expression" priority="2" aboveAverage="0" equalAverage="0" bottom="0" percent="0" rank="0" text="" dxfId="0">
      <formula>C5="OK"</formula>
    </cfRule>
    <cfRule type="expression" priority="3" aboveAverage="0" equalAverage="0" bottom="0" percent="0" rank="0" text="" dxfId="1">
      <formula>AND(C5&lt;&gt;"OK",C5&lt;&gt;"—",C5&lt;&gt;"")</formula>
    </cfRule>
  </conditionalFormatting>
  <conditionalFormatting sqref="D5:D43">
    <cfRule type="expression" priority="4" aboveAverage="0" equalAverage="0" bottom="0" percent="0" rank="0" text="" dxfId="0">
      <formula>D5="OK"</formula>
    </cfRule>
    <cfRule type="expression" priority="5" aboveAverage="0" equalAverage="0" bottom="0" percent="0" rank="0" text="" dxfId="1">
      <formula>D5="OPRAVIT"</formula>
    </cfRule>
  </conditionalFormatting>
  <dataValidations count="1">
    <dataValidation allowBlank="true" errorStyle="stop" operator="between" showDropDown="false" showErrorMessage="false" showInputMessage="false" sqref="D5:D43" type="list">
      <formula1>"OK,OPRAVIT,N/A"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5"/>
    <col collapsed="false" customWidth="true" hidden="false" outlineLevel="0" max="3" min="3" style="0" width="5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19" t="s">
        <v>326</v>
      </c>
      <c r="B1" s="19"/>
      <c r="C1" s="19"/>
      <c r="D1" s="19"/>
    </row>
    <row r="2" customFormat="false" ht="42" hidden="false" customHeight="true" outlineLevel="0" collapsed="false">
      <c r="A2" s="8" t="s">
        <v>327</v>
      </c>
      <c r="B2" s="8"/>
      <c r="C2" s="8"/>
      <c r="D2" s="8"/>
    </row>
    <row r="4" customFormat="false" ht="37.5" hidden="false" customHeight="true" outlineLevel="0" collapsed="false">
      <c r="A4" s="3" t="s">
        <v>328</v>
      </c>
      <c r="B4" s="10"/>
      <c r="C4" s="10"/>
      <c r="D4" s="10"/>
    </row>
    <row r="5" customFormat="false" ht="37.5" hidden="false" customHeight="true" outlineLevel="0" collapsed="false">
      <c r="A5" s="3" t="s">
        <v>329</v>
      </c>
      <c r="B5" s="10"/>
      <c r="C5" s="10"/>
      <c r="D5" s="10"/>
    </row>
    <row r="6" customFormat="false" ht="37.5" hidden="false" customHeight="true" outlineLevel="0" collapsed="false">
      <c r="A6" s="3" t="s">
        <v>330</v>
      </c>
      <c r="B6" s="10"/>
      <c r="C6" s="10"/>
      <c r="D6" s="10"/>
    </row>
    <row r="7" customFormat="false" ht="37.5" hidden="false" customHeight="true" outlineLevel="0" collapsed="false">
      <c r="A7" s="3" t="s">
        <v>331</v>
      </c>
      <c r="B7" s="10"/>
      <c r="C7" s="10"/>
      <c r="D7" s="10"/>
    </row>
    <row r="8" customFormat="false" ht="37.5" hidden="false" customHeight="true" outlineLevel="0" collapsed="false">
      <c r="A8" s="3" t="s">
        <v>57</v>
      </c>
      <c r="B8" s="10"/>
      <c r="C8" s="10"/>
      <c r="D8" s="10"/>
    </row>
    <row r="9" customFormat="false" ht="37.5" hidden="false" customHeight="true" outlineLevel="0" collapsed="false">
      <c r="A9" s="3" t="s">
        <v>332</v>
      </c>
      <c r="B9" s="10"/>
      <c r="C9" s="10"/>
      <c r="D9" s="10"/>
    </row>
    <row r="10" customFormat="false" ht="37.5" hidden="false" customHeight="true" outlineLevel="0" collapsed="false">
      <c r="A10" s="3" t="s">
        <v>333</v>
      </c>
      <c r="B10" s="10"/>
      <c r="C10" s="10"/>
      <c r="D10" s="10"/>
    </row>
    <row r="12" customFormat="false" ht="19.5" hidden="false" customHeight="true" outlineLevel="0" collapsed="false">
      <c r="A12" s="9" t="s">
        <v>334</v>
      </c>
      <c r="B12" s="9"/>
      <c r="C12" s="9"/>
      <c r="D12" s="9"/>
    </row>
    <row r="13" customFormat="false" ht="37.5" hidden="false" customHeight="true" outlineLevel="0" collapsed="false">
      <c r="A13" s="3" t="s">
        <v>335</v>
      </c>
      <c r="B13" s="10"/>
      <c r="C13" s="10"/>
      <c r="D13" s="10"/>
    </row>
    <row r="14" customFormat="false" ht="37.5" hidden="false" customHeight="true" outlineLevel="0" collapsed="false">
      <c r="A14" s="3" t="s">
        <v>336</v>
      </c>
      <c r="B14" s="10"/>
      <c r="C14" s="10"/>
      <c r="D14" s="10"/>
    </row>
    <row r="16" customFormat="false" ht="19.5" hidden="false" customHeight="true" outlineLevel="0" collapsed="false">
      <c r="A16" s="9" t="s">
        <v>337</v>
      </c>
      <c r="B16" s="9"/>
      <c r="C16" s="9"/>
      <c r="D16" s="9"/>
    </row>
    <row r="17" customFormat="false" ht="37.5" hidden="false" customHeight="true" outlineLevel="0" collapsed="false">
      <c r="A17" s="3" t="s">
        <v>338</v>
      </c>
      <c r="B17" s="10"/>
      <c r="C17" s="10"/>
      <c r="D17" s="10"/>
    </row>
    <row r="18" customFormat="false" ht="37.5" hidden="false" customHeight="true" outlineLevel="0" collapsed="false">
      <c r="A18" s="3" t="s">
        <v>339</v>
      </c>
      <c r="B18" s="10"/>
      <c r="C18" s="10"/>
      <c r="D18" s="10"/>
    </row>
    <row r="19" customFormat="false" ht="37.5" hidden="false" customHeight="true" outlineLevel="0" collapsed="false">
      <c r="A19" s="3" t="s">
        <v>340</v>
      </c>
      <c r="B19" s="10"/>
      <c r="C19" s="10"/>
      <c r="D19" s="10"/>
    </row>
    <row r="21" customFormat="false" ht="19.5" hidden="false" customHeight="true" outlineLevel="0" collapsed="false">
      <c r="A21" s="9" t="s">
        <v>341</v>
      </c>
      <c r="B21" s="9"/>
      <c r="C21" s="9"/>
      <c r="D21" s="9"/>
    </row>
    <row r="22" customFormat="false" ht="37.5" hidden="false" customHeight="true" outlineLevel="0" collapsed="false">
      <c r="A22" s="3" t="s">
        <v>342</v>
      </c>
      <c r="B22" s="10"/>
      <c r="C22" s="10"/>
      <c r="D22" s="10"/>
    </row>
    <row r="23" customFormat="false" ht="37.5" hidden="false" customHeight="true" outlineLevel="0" collapsed="false">
      <c r="A23" s="3" t="s">
        <v>343</v>
      </c>
      <c r="B23" s="10"/>
      <c r="C23" s="10"/>
      <c r="D23" s="10"/>
    </row>
    <row r="24" customFormat="false" ht="37.5" hidden="false" customHeight="true" outlineLevel="0" collapsed="false">
      <c r="A24" s="3" t="s">
        <v>344</v>
      </c>
      <c r="B24" s="10"/>
      <c r="C24" s="10"/>
      <c r="D24" s="10"/>
    </row>
    <row r="26" customFormat="false" ht="19.5" hidden="false" customHeight="true" outlineLevel="0" collapsed="false">
      <c r="A26" s="9" t="s">
        <v>345</v>
      </c>
      <c r="B26" s="9"/>
      <c r="C26" s="9"/>
      <c r="D26" s="9"/>
    </row>
    <row r="27" customFormat="false" ht="37.5" hidden="false" customHeight="true" outlineLevel="0" collapsed="false">
      <c r="A27" s="3" t="s">
        <v>346</v>
      </c>
      <c r="B27" s="10"/>
      <c r="C27" s="10"/>
      <c r="D27" s="10"/>
    </row>
    <row r="28" customFormat="false" ht="37.5" hidden="false" customHeight="true" outlineLevel="0" collapsed="false">
      <c r="A28" s="3" t="s">
        <v>347</v>
      </c>
      <c r="B28" s="10"/>
      <c r="C28" s="10"/>
      <c r="D28" s="10"/>
    </row>
    <row r="30" customFormat="false" ht="19.5" hidden="false" customHeight="true" outlineLevel="0" collapsed="false">
      <c r="A30" s="9" t="s">
        <v>348</v>
      </c>
      <c r="B30" s="9"/>
      <c r="C30" s="9"/>
      <c r="D30" s="9"/>
    </row>
    <row r="31" customFormat="false" ht="37.5" hidden="false" customHeight="true" outlineLevel="0" collapsed="false">
      <c r="A31" s="3" t="s">
        <v>349</v>
      </c>
      <c r="B31" s="10"/>
      <c r="C31" s="10"/>
      <c r="D31" s="10"/>
    </row>
    <row r="32" customFormat="false" ht="37.5" hidden="false" customHeight="true" outlineLevel="0" collapsed="false">
      <c r="A32" s="3" t="s">
        <v>350</v>
      </c>
      <c r="B32" s="10"/>
      <c r="C32" s="10"/>
      <c r="D32" s="10"/>
    </row>
    <row r="34" customFormat="false" ht="19.5" hidden="false" customHeight="true" outlineLevel="0" collapsed="false">
      <c r="A34" s="9" t="s">
        <v>351</v>
      </c>
      <c r="B34" s="9"/>
      <c r="C34" s="9"/>
      <c r="D34" s="9"/>
    </row>
    <row r="35" customFormat="false" ht="37.5" hidden="false" customHeight="true" outlineLevel="0" collapsed="false">
      <c r="A35" s="3" t="s">
        <v>352</v>
      </c>
      <c r="B35" s="10"/>
      <c r="C35" s="10"/>
      <c r="D35" s="10"/>
    </row>
    <row r="36" customFormat="false" ht="37.5" hidden="false" customHeight="true" outlineLevel="0" collapsed="false">
      <c r="A36" s="3" t="s">
        <v>353</v>
      </c>
      <c r="B36" s="10"/>
      <c r="C36" s="10"/>
      <c r="D36" s="10"/>
    </row>
    <row r="37" customFormat="false" ht="37.5" hidden="false" customHeight="true" outlineLevel="0" collapsed="false">
      <c r="A37" s="3" t="s">
        <v>251</v>
      </c>
      <c r="B37" s="10"/>
      <c r="C37" s="10"/>
      <c r="D37" s="10"/>
    </row>
  </sheetData>
  <mergeCells count="30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A12:D12"/>
    <mergeCell ref="B13:D13"/>
    <mergeCell ref="B14:D14"/>
    <mergeCell ref="A16:D16"/>
    <mergeCell ref="B17:D17"/>
    <mergeCell ref="B18:D18"/>
    <mergeCell ref="B19:D19"/>
    <mergeCell ref="A21:D21"/>
    <mergeCell ref="B22:D22"/>
    <mergeCell ref="B23:D23"/>
    <mergeCell ref="B24:D24"/>
    <mergeCell ref="A26:D26"/>
    <mergeCell ref="B27:D27"/>
    <mergeCell ref="B28:D28"/>
    <mergeCell ref="A30:D30"/>
    <mergeCell ref="B31:D31"/>
    <mergeCell ref="B32:D32"/>
    <mergeCell ref="A34:D34"/>
    <mergeCell ref="B35:D35"/>
    <mergeCell ref="B36:D36"/>
    <mergeCell ref="B37:D37"/>
  </mergeCells>
  <dataValidations count="2">
    <dataValidation allowBlank="true" errorStyle="stop" operator="between" showDropDown="false" showErrorMessage="false" showInputMessage="false" sqref="B8:D8" type="list">
      <formula1>"ano,ne"</formula1>
      <formula2>0</formula2>
    </dataValidation>
    <dataValidation allowBlank="true" errorStyle="stop" operator="between" showDropDown="false" showErrorMessage="false" showInputMessage="false" sqref="B37:D37" type="list">
      <formula1>"AI (výhradně),Lektor,Garant,Uživatel (sebehodnocení),Kombinace"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5"/>
    <col collapsed="false" customWidth="true" hidden="false" outlineLevel="0" max="3" min="3" style="0" width="5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19" t="s">
        <v>354</v>
      </c>
      <c r="B1" s="19"/>
      <c r="C1" s="19"/>
      <c r="D1" s="19"/>
    </row>
    <row r="2" customFormat="false" ht="42" hidden="false" customHeight="true" outlineLevel="0" collapsed="false">
      <c r="A2" s="8" t="s">
        <v>327</v>
      </c>
      <c r="B2" s="8"/>
      <c r="C2" s="8"/>
      <c r="D2" s="8"/>
    </row>
    <row r="4" customFormat="false" ht="37.5" hidden="false" customHeight="true" outlineLevel="0" collapsed="false">
      <c r="A4" s="3" t="s">
        <v>328</v>
      </c>
      <c r="B4" s="10"/>
      <c r="C4" s="10"/>
      <c r="D4" s="10"/>
    </row>
    <row r="5" customFormat="false" ht="37.5" hidden="false" customHeight="true" outlineLevel="0" collapsed="false">
      <c r="A5" s="3" t="s">
        <v>329</v>
      </c>
      <c r="B5" s="10"/>
      <c r="C5" s="10"/>
      <c r="D5" s="10"/>
    </row>
    <row r="6" customFormat="false" ht="37.5" hidden="false" customHeight="true" outlineLevel="0" collapsed="false">
      <c r="A6" s="3" t="s">
        <v>330</v>
      </c>
      <c r="B6" s="10"/>
      <c r="C6" s="10"/>
      <c r="D6" s="10"/>
    </row>
    <row r="7" customFormat="false" ht="37.5" hidden="false" customHeight="true" outlineLevel="0" collapsed="false">
      <c r="A7" s="3" t="s">
        <v>331</v>
      </c>
      <c r="B7" s="10"/>
      <c r="C7" s="10"/>
      <c r="D7" s="10"/>
    </row>
    <row r="8" customFormat="false" ht="37.5" hidden="false" customHeight="true" outlineLevel="0" collapsed="false">
      <c r="A8" s="3" t="s">
        <v>57</v>
      </c>
      <c r="B8" s="10"/>
      <c r="C8" s="10"/>
      <c r="D8" s="10"/>
    </row>
    <row r="9" customFormat="false" ht="37.5" hidden="false" customHeight="true" outlineLevel="0" collapsed="false">
      <c r="A9" s="3" t="s">
        <v>332</v>
      </c>
      <c r="B9" s="10"/>
      <c r="C9" s="10"/>
      <c r="D9" s="10"/>
    </row>
    <row r="10" customFormat="false" ht="37.5" hidden="false" customHeight="true" outlineLevel="0" collapsed="false">
      <c r="A10" s="3" t="s">
        <v>333</v>
      </c>
      <c r="B10" s="10"/>
      <c r="C10" s="10"/>
      <c r="D10" s="10"/>
    </row>
    <row r="12" customFormat="false" ht="19.5" hidden="false" customHeight="true" outlineLevel="0" collapsed="false">
      <c r="A12" s="9" t="s">
        <v>334</v>
      </c>
      <c r="B12" s="9"/>
      <c r="C12" s="9"/>
      <c r="D12" s="9"/>
    </row>
    <row r="13" customFormat="false" ht="37.5" hidden="false" customHeight="true" outlineLevel="0" collapsed="false">
      <c r="A13" s="3" t="s">
        <v>335</v>
      </c>
      <c r="B13" s="10"/>
      <c r="C13" s="10"/>
      <c r="D13" s="10"/>
    </row>
    <row r="14" customFormat="false" ht="37.5" hidden="false" customHeight="true" outlineLevel="0" collapsed="false">
      <c r="A14" s="3" t="s">
        <v>336</v>
      </c>
      <c r="B14" s="10"/>
      <c r="C14" s="10"/>
      <c r="D14" s="10"/>
    </row>
    <row r="16" customFormat="false" ht="19.5" hidden="false" customHeight="true" outlineLevel="0" collapsed="false">
      <c r="A16" s="9" t="s">
        <v>337</v>
      </c>
      <c r="B16" s="9"/>
      <c r="C16" s="9"/>
      <c r="D16" s="9"/>
    </row>
    <row r="17" customFormat="false" ht="37.5" hidden="false" customHeight="true" outlineLevel="0" collapsed="false">
      <c r="A17" s="3" t="s">
        <v>338</v>
      </c>
      <c r="B17" s="10"/>
      <c r="C17" s="10"/>
      <c r="D17" s="10"/>
    </row>
    <row r="18" customFormat="false" ht="37.5" hidden="false" customHeight="true" outlineLevel="0" collapsed="false">
      <c r="A18" s="3" t="s">
        <v>339</v>
      </c>
      <c r="B18" s="10"/>
      <c r="C18" s="10"/>
      <c r="D18" s="10"/>
    </row>
    <row r="19" customFormat="false" ht="37.5" hidden="false" customHeight="true" outlineLevel="0" collapsed="false">
      <c r="A19" s="3" t="s">
        <v>340</v>
      </c>
      <c r="B19" s="10"/>
      <c r="C19" s="10"/>
      <c r="D19" s="10"/>
    </row>
    <row r="21" customFormat="false" ht="19.5" hidden="false" customHeight="true" outlineLevel="0" collapsed="false">
      <c r="A21" s="9" t="s">
        <v>341</v>
      </c>
      <c r="B21" s="9"/>
      <c r="C21" s="9"/>
      <c r="D21" s="9"/>
    </row>
    <row r="22" customFormat="false" ht="37.5" hidden="false" customHeight="true" outlineLevel="0" collapsed="false">
      <c r="A22" s="3" t="s">
        <v>342</v>
      </c>
      <c r="B22" s="10"/>
      <c r="C22" s="10"/>
      <c r="D22" s="10"/>
    </row>
    <row r="23" customFormat="false" ht="37.5" hidden="false" customHeight="true" outlineLevel="0" collapsed="false">
      <c r="A23" s="3" t="s">
        <v>343</v>
      </c>
      <c r="B23" s="10"/>
      <c r="C23" s="10"/>
      <c r="D23" s="10"/>
    </row>
    <row r="24" customFormat="false" ht="37.5" hidden="false" customHeight="true" outlineLevel="0" collapsed="false">
      <c r="A24" s="3" t="s">
        <v>344</v>
      </c>
      <c r="B24" s="10"/>
      <c r="C24" s="10"/>
      <c r="D24" s="10"/>
    </row>
    <row r="26" customFormat="false" ht="19.5" hidden="false" customHeight="true" outlineLevel="0" collapsed="false">
      <c r="A26" s="9" t="s">
        <v>345</v>
      </c>
      <c r="B26" s="9"/>
      <c r="C26" s="9"/>
      <c r="D26" s="9"/>
    </row>
    <row r="27" customFormat="false" ht="37.5" hidden="false" customHeight="true" outlineLevel="0" collapsed="false">
      <c r="A27" s="3" t="s">
        <v>346</v>
      </c>
      <c r="B27" s="10"/>
      <c r="C27" s="10"/>
      <c r="D27" s="10"/>
    </row>
    <row r="28" customFormat="false" ht="37.5" hidden="false" customHeight="true" outlineLevel="0" collapsed="false">
      <c r="A28" s="3" t="s">
        <v>347</v>
      </c>
      <c r="B28" s="10"/>
      <c r="C28" s="10"/>
      <c r="D28" s="10"/>
    </row>
    <row r="30" customFormat="false" ht="19.5" hidden="false" customHeight="true" outlineLevel="0" collapsed="false">
      <c r="A30" s="9" t="s">
        <v>348</v>
      </c>
      <c r="B30" s="9"/>
      <c r="C30" s="9"/>
      <c r="D30" s="9"/>
    </row>
    <row r="31" customFormat="false" ht="37.5" hidden="false" customHeight="true" outlineLevel="0" collapsed="false">
      <c r="A31" s="3" t="s">
        <v>349</v>
      </c>
      <c r="B31" s="10"/>
      <c r="C31" s="10"/>
      <c r="D31" s="10"/>
    </row>
    <row r="32" customFormat="false" ht="37.5" hidden="false" customHeight="true" outlineLevel="0" collapsed="false">
      <c r="A32" s="3" t="s">
        <v>350</v>
      </c>
      <c r="B32" s="10"/>
      <c r="C32" s="10"/>
      <c r="D32" s="10"/>
    </row>
    <row r="34" customFormat="false" ht="19.5" hidden="false" customHeight="true" outlineLevel="0" collapsed="false">
      <c r="A34" s="9" t="s">
        <v>351</v>
      </c>
      <c r="B34" s="9"/>
      <c r="C34" s="9"/>
      <c r="D34" s="9"/>
    </row>
    <row r="35" customFormat="false" ht="37.5" hidden="false" customHeight="true" outlineLevel="0" collapsed="false">
      <c r="A35" s="3" t="s">
        <v>352</v>
      </c>
      <c r="B35" s="10"/>
      <c r="C35" s="10"/>
      <c r="D35" s="10"/>
    </row>
    <row r="36" customFormat="false" ht="37.5" hidden="false" customHeight="true" outlineLevel="0" collapsed="false">
      <c r="A36" s="3" t="s">
        <v>353</v>
      </c>
      <c r="B36" s="10"/>
      <c r="C36" s="10"/>
      <c r="D36" s="10"/>
    </row>
    <row r="37" customFormat="false" ht="37.5" hidden="false" customHeight="true" outlineLevel="0" collapsed="false">
      <c r="A37" s="3" t="s">
        <v>251</v>
      </c>
      <c r="B37" s="10"/>
      <c r="C37" s="10"/>
      <c r="D37" s="10"/>
    </row>
  </sheetData>
  <mergeCells count="30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A12:D12"/>
    <mergeCell ref="B13:D13"/>
    <mergeCell ref="B14:D14"/>
    <mergeCell ref="A16:D16"/>
    <mergeCell ref="B17:D17"/>
    <mergeCell ref="B18:D18"/>
    <mergeCell ref="B19:D19"/>
    <mergeCell ref="A21:D21"/>
    <mergeCell ref="B22:D22"/>
    <mergeCell ref="B23:D23"/>
    <mergeCell ref="B24:D24"/>
    <mergeCell ref="A26:D26"/>
    <mergeCell ref="B27:D27"/>
    <mergeCell ref="B28:D28"/>
    <mergeCell ref="A30:D30"/>
    <mergeCell ref="B31:D31"/>
    <mergeCell ref="B32:D32"/>
    <mergeCell ref="A34:D34"/>
    <mergeCell ref="B35:D35"/>
    <mergeCell ref="B36:D36"/>
    <mergeCell ref="B37:D37"/>
  </mergeCells>
  <dataValidations count="2">
    <dataValidation allowBlank="true" errorStyle="stop" operator="between" showDropDown="false" showErrorMessage="false" showInputMessage="false" sqref="B8:D8" type="list">
      <formula1>"ano,ne"</formula1>
      <formula2>0</formula2>
    </dataValidation>
    <dataValidation allowBlank="true" errorStyle="stop" operator="between" showDropDown="false" showErrorMessage="false" showInputMessage="false" sqref="B37:D37" type="list">
      <formula1>"AI (výhradně),Lektor,Garant,Uživatel (sebehodnocení),Kombinace"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5"/>
    <col collapsed="false" customWidth="true" hidden="false" outlineLevel="0" max="3" min="3" style="0" width="5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19" t="s">
        <v>355</v>
      </c>
      <c r="B1" s="19"/>
      <c r="C1" s="19"/>
      <c r="D1" s="19"/>
    </row>
    <row r="2" customFormat="false" ht="42" hidden="false" customHeight="true" outlineLevel="0" collapsed="false">
      <c r="A2" s="8" t="s">
        <v>327</v>
      </c>
      <c r="B2" s="8"/>
      <c r="C2" s="8"/>
      <c r="D2" s="8"/>
    </row>
    <row r="4" customFormat="false" ht="37.5" hidden="false" customHeight="true" outlineLevel="0" collapsed="false">
      <c r="A4" s="3" t="s">
        <v>328</v>
      </c>
      <c r="B4" s="10"/>
      <c r="C4" s="10"/>
      <c r="D4" s="10"/>
    </row>
    <row r="5" customFormat="false" ht="37.5" hidden="false" customHeight="true" outlineLevel="0" collapsed="false">
      <c r="A5" s="3" t="s">
        <v>329</v>
      </c>
      <c r="B5" s="10"/>
      <c r="C5" s="10"/>
      <c r="D5" s="10"/>
    </row>
    <row r="6" customFormat="false" ht="37.5" hidden="false" customHeight="true" outlineLevel="0" collapsed="false">
      <c r="A6" s="3" t="s">
        <v>330</v>
      </c>
      <c r="B6" s="10"/>
      <c r="C6" s="10"/>
      <c r="D6" s="10"/>
    </row>
    <row r="7" customFormat="false" ht="37.5" hidden="false" customHeight="true" outlineLevel="0" collapsed="false">
      <c r="A7" s="3" t="s">
        <v>331</v>
      </c>
      <c r="B7" s="10"/>
      <c r="C7" s="10"/>
      <c r="D7" s="10"/>
    </row>
    <row r="8" customFormat="false" ht="37.5" hidden="false" customHeight="true" outlineLevel="0" collapsed="false">
      <c r="A8" s="3" t="s">
        <v>57</v>
      </c>
      <c r="B8" s="10"/>
      <c r="C8" s="10"/>
      <c r="D8" s="10"/>
    </row>
    <row r="9" customFormat="false" ht="37.5" hidden="false" customHeight="true" outlineLevel="0" collapsed="false">
      <c r="A9" s="3" t="s">
        <v>332</v>
      </c>
      <c r="B9" s="10"/>
      <c r="C9" s="10"/>
      <c r="D9" s="10"/>
    </row>
    <row r="10" customFormat="false" ht="37.5" hidden="false" customHeight="true" outlineLevel="0" collapsed="false">
      <c r="A10" s="3" t="s">
        <v>333</v>
      </c>
      <c r="B10" s="10"/>
      <c r="C10" s="10"/>
      <c r="D10" s="10"/>
    </row>
    <row r="12" customFormat="false" ht="19.5" hidden="false" customHeight="true" outlineLevel="0" collapsed="false">
      <c r="A12" s="9" t="s">
        <v>334</v>
      </c>
      <c r="B12" s="9"/>
      <c r="C12" s="9"/>
      <c r="D12" s="9"/>
    </row>
    <row r="13" customFormat="false" ht="37.5" hidden="false" customHeight="true" outlineLevel="0" collapsed="false">
      <c r="A13" s="3" t="s">
        <v>335</v>
      </c>
      <c r="B13" s="10"/>
      <c r="C13" s="10"/>
      <c r="D13" s="10"/>
    </row>
    <row r="14" customFormat="false" ht="37.5" hidden="false" customHeight="true" outlineLevel="0" collapsed="false">
      <c r="A14" s="3" t="s">
        <v>336</v>
      </c>
      <c r="B14" s="10"/>
      <c r="C14" s="10"/>
      <c r="D14" s="10"/>
    </row>
    <row r="16" customFormat="false" ht="19.5" hidden="false" customHeight="true" outlineLevel="0" collapsed="false">
      <c r="A16" s="9" t="s">
        <v>337</v>
      </c>
      <c r="B16" s="9"/>
      <c r="C16" s="9"/>
      <c r="D16" s="9"/>
    </row>
    <row r="17" customFormat="false" ht="37.5" hidden="false" customHeight="true" outlineLevel="0" collapsed="false">
      <c r="A17" s="3" t="s">
        <v>338</v>
      </c>
      <c r="B17" s="10"/>
      <c r="C17" s="10"/>
      <c r="D17" s="10"/>
    </row>
    <row r="18" customFormat="false" ht="37.5" hidden="false" customHeight="true" outlineLevel="0" collapsed="false">
      <c r="A18" s="3" t="s">
        <v>339</v>
      </c>
      <c r="B18" s="10"/>
      <c r="C18" s="10"/>
      <c r="D18" s="10"/>
    </row>
    <row r="19" customFormat="false" ht="37.5" hidden="false" customHeight="true" outlineLevel="0" collapsed="false">
      <c r="A19" s="3" t="s">
        <v>340</v>
      </c>
      <c r="B19" s="10"/>
      <c r="C19" s="10"/>
      <c r="D19" s="10"/>
    </row>
    <row r="21" customFormat="false" ht="19.5" hidden="false" customHeight="true" outlineLevel="0" collapsed="false">
      <c r="A21" s="9" t="s">
        <v>341</v>
      </c>
      <c r="B21" s="9"/>
      <c r="C21" s="9"/>
      <c r="D21" s="9"/>
    </row>
    <row r="22" customFormat="false" ht="37.5" hidden="false" customHeight="true" outlineLevel="0" collapsed="false">
      <c r="A22" s="3" t="s">
        <v>342</v>
      </c>
      <c r="B22" s="10"/>
      <c r="C22" s="10"/>
      <c r="D22" s="10"/>
    </row>
    <row r="23" customFormat="false" ht="37.5" hidden="false" customHeight="true" outlineLevel="0" collapsed="false">
      <c r="A23" s="3" t="s">
        <v>343</v>
      </c>
      <c r="B23" s="10"/>
      <c r="C23" s="10"/>
      <c r="D23" s="10"/>
    </row>
    <row r="24" customFormat="false" ht="37.5" hidden="false" customHeight="true" outlineLevel="0" collapsed="false">
      <c r="A24" s="3" t="s">
        <v>344</v>
      </c>
      <c r="B24" s="10"/>
      <c r="C24" s="10"/>
      <c r="D24" s="10"/>
    </row>
    <row r="26" customFormat="false" ht="19.5" hidden="false" customHeight="true" outlineLevel="0" collapsed="false">
      <c r="A26" s="9" t="s">
        <v>345</v>
      </c>
      <c r="B26" s="9"/>
      <c r="C26" s="9"/>
      <c r="D26" s="9"/>
    </row>
    <row r="27" customFormat="false" ht="37.5" hidden="false" customHeight="true" outlineLevel="0" collapsed="false">
      <c r="A27" s="3" t="s">
        <v>346</v>
      </c>
      <c r="B27" s="10"/>
      <c r="C27" s="10"/>
      <c r="D27" s="10"/>
    </row>
    <row r="28" customFormat="false" ht="37.5" hidden="false" customHeight="true" outlineLevel="0" collapsed="false">
      <c r="A28" s="3" t="s">
        <v>347</v>
      </c>
      <c r="B28" s="10"/>
      <c r="C28" s="10"/>
      <c r="D28" s="10"/>
    </row>
    <row r="30" customFormat="false" ht="19.5" hidden="false" customHeight="true" outlineLevel="0" collapsed="false">
      <c r="A30" s="9" t="s">
        <v>348</v>
      </c>
      <c r="B30" s="9"/>
      <c r="C30" s="9"/>
      <c r="D30" s="9"/>
    </row>
    <row r="31" customFormat="false" ht="37.5" hidden="false" customHeight="true" outlineLevel="0" collapsed="false">
      <c r="A31" s="3" t="s">
        <v>349</v>
      </c>
      <c r="B31" s="10"/>
      <c r="C31" s="10"/>
      <c r="D31" s="10"/>
    </row>
    <row r="32" customFormat="false" ht="37.5" hidden="false" customHeight="true" outlineLevel="0" collapsed="false">
      <c r="A32" s="3" t="s">
        <v>350</v>
      </c>
      <c r="B32" s="10"/>
      <c r="C32" s="10"/>
      <c r="D32" s="10"/>
    </row>
    <row r="34" customFormat="false" ht="19.5" hidden="false" customHeight="true" outlineLevel="0" collapsed="false">
      <c r="A34" s="9" t="s">
        <v>351</v>
      </c>
      <c r="B34" s="9"/>
      <c r="C34" s="9"/>
      <c r="D34" s="9"/>
    </row>
    <row r="35" customFormat="false" ht="37.5" hidden="false" customHeight="true" outlineLevel="0" collapsed="false">
      <c r="A35" s="3" t="s">
        <v>352</v>
      </c>
      <c r="B35" s="10"/>
      <c r="C35" s="10"/>
      <c r="D35" s="10"/>
    </row>
    <row r="36" customFormat="false" ht="37.5" hidden="false" customHeight="true" outlineLevel="0" collapsed="false">
      <c r="A36" s="3" t="s">
        <v>353</v>
      </c>
      <c r="B36" s="10"/>
      <c r="C36" s="10"/>
      <c r="D36" s="10"/>
    </row>
    <row r="37" customFormat="false" ht="37.5" hidden="false" customHeight="true" outlineLevel="0" collapsed="false">
      <c r="A37" s="3" t="s">
        <v>251</v>
      </c>
      <c r="B37" s="10"/>
      <c r="C37" s="10"/>
      <c r="D37" s="10"/>
    </row>
  </sheetData>
  <mergeCells count="30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A12:D12"/>
    <mergeCell ref="B13:D13"/>
    <mergeCell ref="B14:D14"/>
    <mergeCell ref="A16:D16"/>
    <mergeCell ref="B17:D17"/>
    <mergeCell ref="B18:D18"/>
    <mergeCell ref="B19:D19"/>
    <mergeCell ref="A21:D21"/>
    <mergeCell ref="B22:D22"/>
    <mergeCell ref="B23:D23"/>
    <mergeCell ref="B24:D24"/>
    <mergeCell ref="A26:D26"/>
    <mergeCell ref="B27:D27"/>
    <mergeCell ref="B28:D28"/>
    <mergeCell ref="A30:D30"/>
    <mergeCell ref="B31:D31"/>
    <mergeCell ref="B32:D32"/>
    <mergeCell ref="A34:D34"/>
    <mergeCell ref="B35:D35"/>
    <mergeCell ref="B36:D36"/>
    <mergeCell ref="B37:D37"/>
  </mergeCells>
  <dataValidations count="2">
    <dataValidation allowBlank="true" errorStyle="stop" operator="between" showDropDown="false" showErrorMessage="false" showInputMessage="false" sqref="B8:D8" type="list">
      <formula1>"ano,ne"</formula1>
      <formula2>0</formula2>
    </dataValidation>
    <dataValidation allowBlank="true" errorStyle="stop" operator="between" showDropDown="false" showErrorMessage="false" showInputMessage="false" sqref="B37:D37" type="list">
      <formula1>"AI (výhradně),Lektor,Garant,Uživatel (sebehodnocení),Kombinace"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5"/>
    <col collapsed="false" customWidth="true" hidden="false" outlineLevel="0" max="3" min="3" style="0" width="5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19" t="s">
        <v>356</v>
      </c>
      <c r="B1" s="19"/>
      <c r="C1" s="19"/>
      <c r="D1" s="19"/>
    </row>
    <row r="2" customFormat="false" ht="42" hidden="false" customHeight="true" outlineLevel="0" collapsed="false">
      <c r="A2" s="8" t="s">
        <v>327</v>
      </c>
      <c r="B2" s="8"/>
      <c r="C2" s="8"/>
      <c r="D2" s="8"/>
    </row>
    <row r="4" customFormat="false" ht="37.5" hidden="false" customHeight="true" outlineLevel="0" collapsed="false">
      <c r="A4" s="3" t="s">
        <v>328</v>
      </c>
      <c r="B4" s="10"/>
      <c r="C4" s="10"/>
      <c r="D4" s="10"/>
    </row>
    <row r="5" customFormat="false" ht="37.5" hidden="false" customHeight="true" outlineLevel="0" collapsed="false">
      <c r="A5" s="3" t="s">
        <v>329</v>
      </c>
      <c r="B5" s="10"/>
      <c r="C5" s="10"/>
      <c r="D5" s="10"/>
    </row>
    <row r="6" customFormat="false" ht="37.5" hidden="false" customHeight="true" outlineLevel="0" collapsed="false">
      <c r="A6" s="3" t="s">
        <v>330</v>
      </c>
      <c r="B6" s="10"/>
      <c r="C6" s="10"/>
      <c r="D6" s="10"/>
    </row>
    <row r="7" customFormat="false" ht="37.5" hidden="false" customHeight="true" outlineLevel="0" collapsed="false">
      <c r="A7" s="3" t="s">
        <v>331</v>
      </c>
      <c r="B7" s="10"/>
      <c r="C7" s="10"/>
      <c r="D7" s="10"/>
    </row>
    <row r="8" customFormat="false" ht="37.5" hidden="false" customHeight="true" outlineLevel="0" collapsed="false">
      <c r="A8" s="3" t="s">
        <v>57</v>
      </c>
      <c r="B8" s="10"/>
      <c r="C8" s="10"/>
      <c r="D8" s="10"/>
    </row>
    <row r="9" customFormat="false" ht="37.5" hidden="false" customHeight="true" outlineLevel="0" collapsed="false">
      <c r="A9" s="3" t="s">
        <v>332</v>
      </c>
      <c r="B9" s="10"/>
      <c r="C9" s="10"/>
      <c r="D9" s="10"/>
    </row>
    <row r="10" customFormat="false" ht="37.5" hidden="false" customHeight="true" outlineLevel="0" collapsed="false">
      <c r="A10" s="3" t="s">
        <v>333</v>
      </c>
      <c r="B10" s="10"/>
      <c r="C10" s="10"/>
      <c r="D10" s="10"/>
    </row>
    <row r="12" customFormat="false" ht="19.5" hidden="false" customHeight="true" outlineLevel="0" collapsed="false">
      <c r="A12" s="9" t="s">
        <v>334</v>
      </c>
      <c r="B12" s="9"/>
      <c r="C12" s="9"/>
      <c r="D12" s="9"/>
    </row>
    <row r="13" customFormat="false" ht="37.5" hidden="false" customHeight="true" outlineLevel="0" collapsed="false">
      <c r="A13" s="3" t="s">
        <v>335</v>
      </c>
      <c r="B13" s="10"/>
      <c r="C13" s="10"/>
      <c r="D13" s="10"/>
    </row>
    <row r="14" customFormat="false" ht="37.5" hidden="false" customHeight="true" outlineLevel="0" collapsed="false">
      <c r="A14" s="3" t="s">
        <v>336</v>
      </c>
      <c r="B14" s="10"/>
      <c r="C14" s="10"/>
      <c r="D14" s="10"/>
    </row>
    <row r="16" customFormat="false" ht="19.5" hidden="false" customHeight="true" outlineLevel="0" collapsed="false">
      <c r="A16" s="9" t="s">
        <v>337</v>
      </c>
      <c r="B16" s="9"/>
      <c r="C16" s="9"/>
      <c r="D16" s="9"/>
    </row>
    <row r="17" customFormat="false" ht="37.5" hidden="false" customHeight="true" outlineLevel="0" collapsed="false">
      <c r="A17" s="3" t="s">
        <v>338</v>
      </c>
      <c r="B17" s="10"/>
      <c r="C17" s="10"/>
      <c r="D17" s="10"/>
    </row>
    <row r="18" customFormat="false" ht="37.5" hidden="false" customHeight="true" outlineLevel="0" collapsed="false">
      <c r="A18" s="3" t="s">
        <v>339</v>
      </c>
      <c r="B18" s="10"/>
      <c r="C18" s="10"/>
      <c r="D18" s="10"/>
    </row>
    <row r="19" customFormat="false" ht="37.5" hidden="false" customHeight="true" outlineLevel="0" collapsed="false">
      <c r="A19" s="3" t="s">
        <v>340</v>
      </c>
      <c r="B19" s="10"/>
      <c r="C19" s="10"/>
      <c r="D19" s="10"/>
    </row>
    <row r="21" customFormat="false" ht="19.5" hidden="false" customHeight="true" outlineLevel="0" collapsed="false">
      <c r="A21" s="9" t="s">
        <v>341</v>
      </c>
      <c r="B21" s="9"/>
      <c r="C21" s="9"/>
      <c r="D21" s="9"/>
    </row>
    <row r="22" customFormat="false" ht="37.5" hidden="false" customHeight="true" outlineLevel="0" collapsed="false">
      <c r="A22" s="3" t="s">
        <v>342</v>
      </c>
      <c r="B22" s="10"/>
      <c r="C22" s="10"/>
      <c r="D22" s="10"/>
    </row>
    <row r="23" customFormat="false" ht="37.5" hidden="false" customHeight="true" outlineLevel="0" collapsed="false">
      <c r="A23" s="3" t="s">
        <v>343</v>
      </c>
      <c r="B23" s="10"/>
      <c r="C23" s="10"/>
      <c r="D23" s="10"/>
    </row>
    <row r="24" customFormat="false" ht="37.5" hidden="false" customHeight="true" outlineLevel="0" collapsed="false">
      <c r="A24" s="3" t="s">
        <v>344</v>
      </c>
      <c r="B24" s="10"/>
      <c r="C24" s="10"/>
      <c r="D24" s="10"/>
    </row>
    <row r="26" customFormat="false" ht="19.5" hidden="false" customHeight="true" outlineLevel="0" collapsed="false">
      <c r="A26" s="9" t="s">
        <v>345</v>
      </c>
      <c r="B26" s="9"/>
      <c r="C26" s="9"/>
      <c r="D26" s="9"/>
    </row>
    <row r="27" customFormat="false" ht="37.5" hidden="false" customHeight="true" outlineLevel="0" collapsed="false">
      <c r="A27" s="3" t="s">
        <v>346</v>
      </c>
      <c r="B27" s="10"/>
      <c r="C27" s="10"/>
      <c r="D27" s="10"/>
    </row>
    <row r="28" customFormat="false" ht="37.5" hidden="false" customHeight="true" outlineLevel="0" collapsed="false">
      <c r="A28" s="3" t="s">
        <v>347</v>
      </c>
      <c r="B28" s="10"/>
      <c r="C28" s="10"/>
      <c r="D28" s="10"/>
    </row>
    <row r="30" customFormat="false" ht="19.5" hidden="false" customHeight="true" outlineLevel="0" collapsed="false">
      <c r="A30" s="9" t="s">
        <v>348</v>
      </c>
      <c r="B30" s="9"/>
      <c r="C30" s="9"/>
      <c r="D30" s="9"/>
    </row>
    <row r="31" customFormat="false" ht="37.5" hidden="false" customHeight="true" outlineLevel="0" collapsed="false">
      <c r="A31" s="3" t="s">
        <v>349</v>
      </c>
      <c r="B31" s="10"/>
      <c r="C31" s="10"/>
      <c r="D31" s="10"/>
    </row>
    <row r="32" customFormat="false" ht="37.5" hidden="false" customHeight="true" outlineLevel="0" collapsed="false">
      <c r="A32" s="3" t="s">
        <v>350</v>
      </c>
      <c r="B32" s="10"/>
      <c r="C32" s="10"/>
      <c r="D32" s="10"/>
    </row>
    <row r="34" customFormat="false" ht="19.5" hidden="false" customHeight="true" outlineLevel="0" collapsed="false">
      <c r="A34" s="9" t="s">
        <v>351</v>
      </c>
      <c r="B34" s="9"/>
      <c r="C34" s="9"/>
      <c r="D34" s="9"/>
    </row>
    <row r="35" customFormat="false" ht="37.5" hidden="false" customHeight="true" outlineLevel="0" collapsed="false">
      <c r="A35" s="3" t="s">
        <v>352</v>
      </c>
      <c r="B35" s="10"/>
      <c r="C35" s="10"/>
      <c r="D35" s="10"/>
    </row>
    <row r="36" customFormat="false" ht="37.5" hidden="false" customHeight="true" outlineLevel="0" collapsed="false">
      <c r="A36" s="3" t="s">
        <v>353</v>
      </c>
      <c r="B36" s="10"/>
      <c r="C36" s="10"/>
      <c r="D36" s="10"/>
    </row>
    <row r="37" customFormat="false" ht="37.5" hidden="false" customHeight="true" outlineLevel="0" collapsed="false">
      <c r="A37" s="3" t="s">
        <v>251</v>
      </c>
      <c r="B37" s="10"/>
      <c r="C37" s="10"/>
      <c r="D37" s="10"/>
    </row>
  </sheetData>
  <mergeCells count="30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A12:D12"/>
    <mergeCell ref="B13:D13"/>
    <mergeCell ref="B14:D14"/>
    <mergeCell ref="A16:D16"/>
    <mergeCell ref="B17:D17"/>
    <mergeCell ref="B18:D18"/>
    <mergeCell ref="B19:D19"/>
    <mergeCell ref="A21:D21"/>
    <mergeCell ref="B22:D22"/>
    <mergeCell ref="B23:D23"/>
    <mergeCell ref="B24:D24"/>
    <mergeCell ref="A26:D26"/>
    <mergeCell ref="B27:D27"/>
    <mergeCell ref="B28:D28"/>
    <mergeCell ref="A30:D30"/>
    <mergeCell ref="B31:D31"/>
    <mergeCell ref="B32:D32"/>
    <mergeCell ref="A34:D34"/>
    <mergeCell ref="B35:D35"/>
    <mergeCell ref="B36:D36"/>
    <mergeCell ref="B37:D37"/>
  </mergeCells>
  <dataValidations count="2">
    <dataValidation allowBlank="true" errorStyle="stop" operator="between" showDropDown="false" showErrorMessage="false" showInputMessage="false" sqref="B8:D8" type="list">
      <formula1>"ano,ne"</formula1>
      <formula2>0</formula2>
    </dataValidation>
    <dataValidation allowBlank="true" errorStyle="stop" operator="between" showDropDown="false" showErrorMessage="false" showInputMessage="false" sqref="B37:D37" type="list">
      <formula1>"AI (výhradně),Lektor,Garant,Uživatel (sebehodnocení),Kombinace"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5"/>
    <col collapsed="false" customWidth="true" hidden="false" outlineLevel="0" max="3" min="3" style="0" width="5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19" t="s">
        <v>357</v>
      </c>
      <c r="B1" s="19"/>
      <c r="C1" s="19"/>
      <c r="D1" s="19"/>
    </row>
    <row r="2" customFormat="false" ht="42" hidden="false" customHeight="true" outlineLevel="0" collapsed="false">
      <c r="A2" s="8" t="s">
        <v>327</v>
      </c>
      <c r="B2" s="8"/>
      <c r="C2" s="8"/>
      <c r="D2" s="8"/>
    </row>
    <row r="4" customFormat="false" ht="37.5" hidden="false" customHeight="true" outlineLevel="0" collapsed="false">
      <c r="A4" s="3" t="s">
        <v>328</v>
      </c>
      <c r="B4" s="10"/>
      <c r="C4" s="10"/>
      <c r="D4" s="10"/>
    </row>
    <row r="5" customFormat="false" ht="37.5" hidden="false" customHeight="true" outlineLevel="0" collapsed="false">
      <c r="A5" s="3" t="s">
        <v>329</v>
      </c>
      <c r="B5" s="10"/>
      <c r="C5" s="10"/>
      <c r="D5" s="10"/>
    </row>
    <row r="6" customFormat="false" ht="37.5" hidden="false" customHeight="true" outlineLevel="0" collapsed="false">
      <c r="A6" s="3" t="s">
        <v>330</v>
      </c>
      <c r="B6" s="10"/>
      <c r="C6" s="10"/>
      <c r="D6" s="10"/>
    </row>
    <row r="7" customFormat="false" ht="37.5" hidden="false" customHeight="true" outlineLevel="0" collapsed="false">
      <c r="A7" s="3" t="s">
        <v>331</v>
      </c>
      <c r="B7" s="10"/>
      <c r="C7" s="10"/>
      <c r="D7" s="10"/>
    </row>
    <row r="8" customFormat="false" ht="37.5" hidden="false" customHeight="true" outlineLevel="0" collapsed="false">
      <c r="A8" s="3" t="s">
        <v>57</v>
      </c>
      <c r="B8" s="10"/>
      <c r="C8" s="10"/>
      <c r="D8" s="10"/>
    </row>
    <row r="9" customFormat="false" ht="37.5" hidden="false" customHeight="true" outlineLevel="0" collapsed="false">
      <c r="A9" s="3" t="s">
        <v>332</v>
      </c>
      <c r="B9" s="10"/>
      <c r="C9" s="10"/>
      <c r="D9" s="10"/>
    </row>
    <row r="10" customFormat="false" ht="37.5" hidden="false" customHeight="true" outlineLevel="0" collapsed="false">
      <c r="A10" s="3" t="s">
        <v>333</v>
      </c>
      <c r="B10" s="10"/>
      <c r="C10" s="10"/>
      <c r="D10" s="10"/>
    </row>
    <row r="12" customFormat="false" ht="19.5" hidden="false" customHeight="true" outlineLevel="0" collapsed="false">
      <c r="A12" s="9" t="s">
        <v>334</v>
      </c>
      <c r="B12" s="9"/>
      <c r="C12" s="9"/>
      <c r="D12" s="9"/>
    </row>
    <row r="13" customFormat="false" ht="37.5" hidden="false" customHeight="true" outlineLevel="0" collapsed="false">
      <c r="A13" s="3" t="s">
        <v>335</v>
      </c>
      <c r="B13" s="10"/>
      <c r="C13" s="10"/>
      <c r="D13" s="10"/>
    </row>
    <row r="14" customFormat="false" ht="37.5" hidden="false" customHeight="true" outlineLevel="0" collapsed="false">
      <c r="A14" s="3" t="s">
        <v>336</v>
      </c>
      <c r="B14" s="10"/>
      <c r="C14" s="10"/>
      <c r="D14" s="10"/>
    </row>
    <row r="16" customFormat="false" ht="19.5" hidden="false" customHeight="true" outlineLevel="0" collapsed="false">
      <c r="A16" s="9" t="s">
        <v>337</v>
      </c>
      <c r="B16" s="9"/>
      <c r="C16" s="9"/>
      <c r="D16" s="9"/>
    </row>
    <row r="17" customFormat="false" ht="37.5" hidden="false" customHeight="true" outlineLevel="0" collapsed="false">
      <c r="A17" s="3" t="s">
        <v>338</v>
      </c>
      <c r="B17" s="10"/>
      <c r="C17" s="10"/>
      <c r="D17" s="10"/>
    </row>
    <row r="18" customFormat="false" ht="37.5" hidden="false" customHeight="true" outlineLevel="0" collapsed="false">
      <c r="A18" s="3" t="s">
        <v>339</v>
      </c>
      <c r="B18" s="10"/>
      <c r="C18" s="10"/>
      <c r="D18" s="10"/>
    </row>
    <row r="19" customFormat="false" ht="37.5" hidden="false" customHeight="true" outlineLevel="0" collapsed="false">
      <c r="A19" s="3" t="s">
        <v>340</v>
      </c>
      <c r="B19" s="10"/>
      <c r="C19" s="10"/>
      <c r="D19" s="10"/>
    </row>
    <row r="21" customFormat="false" ht="19.5" hidden="false" customHeight="true" outlineLevel="0" collapsed="false">
      <c r="A21" s="9" t="s">
        <v>341</v>
      </c>
      <c r="B21" s="9"/>
      <c r="C21" s="9"/>
      <c r="D21" s="9"/>
    </row>
    <row r="22" customFormat="false" ht="37.5" hidden="false" customHeight="true" outlineLevel="0" collapsed="false">
      <c r="A22" s="3" t="s">
        <v>342</v>
      </c>
      <c r="B22" s="10"/>
      <c r="C22" s="10"/>
      <c r="D22" s="10"/>
    </row>
    <row r="23" customFormat="false" ht="37.5" hidden="false" customHeight="true" outlineLevel="0" collapsed="false">
      <c r="A23" s="3" t="s">
        <v>343</v>
      </c>
      <c r="B23" s="10"/>
      <c r="C23" s="10"/>
      <c r="D23" s="10"/>
    </row>
    <row r="24" customFormat="false" ht="37.5" hidden="false" customHeight="true" outlineLevel="0" collapsed="false">
      <c r="A24" s="3" t="s">
        <v>344</v>
      </c>
      <c r="B24" s="10"/>
      <c r="C24" s="10"/>
      <c r="D24" s="10"/>
    </row>
    <row r="26" customFormat="false" ht="19.5" hidden="false" customHeight="true" outlineLevel="0" collapsed="false">
      <c r="A26" s="9" t="s">
        <v>345</v>
      </c>
      <c r="B26" s="9"/>
      <c r="C26" s="9"/>
      <c r="D26" s="9"/>
    </row>
    <row r="27" customFormat="false" ht="37.5" hidden="false" customHeight="true" outlineLevel="0" collapsed="false">
      <c r="A27" s="3" t="s">
        <v>346</v>
      </c>
      <c r="B27" s="10"/>
      <c r="C27" s="10"/>
      <c r="D27" s="10"/>
    </row>
    <row r="28" customFormat="false" ht="37.5" hidden="false" customHeight="true" outlineLevel="0" collapsed="false">
      <c r="A28" s="3" t="s">
        <v>347</v>
      </c>
      <c r="B28" s="10"/>
      <c r="C28" s="10"/>
      <c r="D28" s="10"/>
    </row>
    <row r="30" customFormat="false" ht="19.5" hidden="false" customHeight="true" outlineLevel="0" collapsed="false">
      <c r="A30" s="9" t="s">
        <v>348</v>
      </c>
      <c r="B30" s="9"/>
      <c r="C30" s="9"/>
      <c r="D30" s="9"/>
    </row>
    <row r="31" customFormat="false" ht="37.5" hidden="false" customHeight="true" outlineLevel="0" collapsed="false">
      <c r="A31" s="3" t="s">
        <v>349</v>
      </c>
      <c r="B31" s="10"/>
      <c r="C31" s="10"/>
      <c r="D31" s="10"/>
    </row>
    <row r="32" customFormat="false" ht="37.5" hidden="false" customHeight="true" outlineLevel="0" collapsed="false">
      <c r="A32" s="3" t="s">
        <v>350</v>
      </c>
      <c r="B32" s="10"/>
      <c r="C32" s="10"/>
      <c r="D32" s="10"/>
    </row>
    <row r="34" customFormat="false" ht="19.5" hidden="false" customHeight="true" outlineLevel="0" collapsed="false">
      <c r="A34" s="9" t="s">
        <v>351</v>
      </c>
      <c r="B34" s="9"/>
      <c r="C34" s="9"/>
      <c r="D34" s="9"/>
    </row>
    <row r="35" customFormat="false" ht="37.5" hidden="false" customHeight="true" outlineLevel="0" collapsed="false">
      <c r="A35" s="3" t="s">
        <v>352</v>
      </c>
      <c r="B35" s="10"/>
      <c r="C35" s="10"/>
      <c r="D35" s="10"/>
    </row>
    <row r="36" customFormat="false" ht="37.5" hidden="false" customHeight="true" outlineLevel="0" collapsed="false">
      <c r="A36" s="3" t="s">
        <v>353</v>
      </c>
      <c r="B36" s="10"/>
      <c r="C36" s="10"/>
      <c r="D36" s="10"/>
    </row>
    <row r="37" customFormat="false" ht="37.5" hidden="false" customHeight="true" outlineLevel="0" collapsed="false">
      <c r="A37" s="3" t="s">
        <v>251</v>
      </c>
      <c r="B37" s="10"/>
      <c r="C37" s="10"/>
      <c r="D37" s="10"/>
    </row>
  </sheetData>
  <mergeCells count="30">
    <mergeCell ref="A1:D1"/>
    <mergeCell ref="A2:D2"/>
    <mergeCell ref="B4:D4"/>
    <mergeCell ref="B5:D5"/>
    <mergeCell ref="B6:D6"/>
    <mergeCell ref="B7:D7"/>
    <mergeCell ref="B8:D8"/>
    <mergeCell ref="B9:D9"/>
    <mergeCell ref="B10:D10"/>
    <mergeCell ref="A12:D12"/>
    <mergeCell ref="B13:D13"/>
    <mergeCell ref="B14:D14"/>
    <mergeCell ref="A16:D16"/>
    <mergeCell ref="B17:D17"/>
    <mergeCell ref="B18:D18"/>
    <mergeCell ref="B19:D19"/>
    <mergeCell ref="A21:D21"/>
    <mergeCell ref="B22:D22"/>
    <mergeCell ref="B23:D23"/>
    <mergeCell ref="B24:D24"/>
    <mergeCell ref="A26:D26"/>
    <mergeCell ref="B27:D27"/>
    <mergeCell ref="B28:D28"/>
    <mergeCell ref="A30:D30"/>
    <mergeCell ref="B31:D31"/>
    <mergeCell ref="B32:D32"/>
    <mergeCell ref="A34:D34"/>
    <mergeCell ref="B35:D35"/>
    <mergeCell ref="B36:D36"/>
    <mergeCell ref="B37:D37"/>
  </mergeCells>
  <dataValidations count="2">
    <dataValidation allowBlank="true" errorStyle="stop" operator="between" showDropDown="false" showErrorMessage="false" showInputMessage="false" sqref="B8:D8" type="list">
      <formula1>"ano,ne"</formula1>
      <formula2>0</formula2>
    </dataValidation>
    <dataValidation allowBlank="true" errorStyle="stop" operator="between" showDropDown="false" showErrorMessage="false" showInputMessage="false" sqref="B37:D37" type="list">
      <formula1>"AI (výhradně),Lektor,Garant,Uživatel (sebehodnocení),Kombinace"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5"/>
    <col collapsed="false" customWidth="true" hidden="false" outlineLevel="0" max="3" min="3" style="0" width="5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19" t="s">
        <v>358</v>
      </c>
      <c r="B1" s="19"/>
      <c r="C1" s="19"/>
      <c r="D1" s="19"/>
    </row>
    <row r="2" customFormat="false" ht="39.75" hidden="false" customHeight="true" outlineLevel="0" collapsed="false">
      <c r="A2" s="8" t="s">
        <v>359</v>
      </c>
      <c r="B2" s="8"/>
      <c r="C2" s="8"/>
      <c r="D2" s="8"/>
    </row>
    <row r="4" customFormat="false" ht="37.5" hidden="false" customHeight="true" outlineLevel="0" collapsed="false">
      <c r="A4" s="3" t="s">
        <v>360</v>
      </c>
      <c r="B4" s="10"/>
      <c r="C4" s="10"/>
      <c r="D4" s="10"/>
    </row>
    <row r="5" customFormat="false" ht="37.5" hidden="false" customHeight="true" outlineLevel="0" collapsed="false">
      <c r="A5" s="3" t="s">
        <v>361</v>
      </c>
      <c r="B5" s="10"/>
      <c r="C5" s="10"/>
      <c r="D5" s="10"/>
    </row>
    <row r="6" customFormat="false" ht="37.5" hidden="false" customHeight="true" outlineLevel="0" collapsed="false">
      <c r="A6" s="3" t="s">
        <v>362</v>
      </c>
      <c r="B6" s="10"/>
      <c r="C6" s="10"/>
      <c r="D6" s="10"/>
    </row>
    <row r="7" customFormat="false" ht="37.5" hidden="false" customHeight="true" outlineLevel="0" collapsed="false">
      <c r="A7" s="3" t="s">
        <v>363</v>
      </c>
      <c r="B7" s="10"/>
      <c r="C7" s="10"/>
      <c r="D7" s="10"/>
    </row>
    <row r="8" customFormat="false" ht="37.5" hidden="false" customHeight="true" outlineLevel="0" collapsed="false">
      <c r="A8" s="3" t="s">
        <v>364</v>
      </c>
      <c r="B8" s="10"/>
      <c r="C8" s="10"/>
      <c r="D8" s="10"/>
    </row>
    <row r="10" customFormat="false" ht="19.5" hidden="false" customHeight="true" outlineLevel="0" collapsed="false">
      <c r="A10" s="9" t="s">
        <v>365</v>
      </c>
      <c r="B10" s="9"/>
      <c r="C10" s="9"/>
      <c r="D10" s="9"/>
    </row>
    <row r="11" customFormat="false" ht="37.5" hidden="false" customHeight="true" outlineLevel="0" collapsed="false">
      <c r="A11" s="3" t="s">
        <v>336</v>
      </c>
      <c r="B11" s="10"/>
      <c r="C11" s="10"/>
      <c r="D11" s="10"/>
    </row>
    <row r="12" customFormat="false" ht="37.5" hidden="false" customHeight="true" outlineLevel="0" collapsed="false">
      <c r="A12" s="3" t="s">
        <v>366</v>
      </c>
      <c r="B12" s="10"/>
      <c r="C12" s="10"/>
      <c r="D12" s="10"/>
    </row>
    <row r="13" customFormat="false" ht="37.5" hidden="false" customHeight="true" outlineLevel="0" collapsed="false">
      <c r="A13" s="3" t="s">
        <v>367</v>
      </c>
      <c r="B13" s="10"/>
      <c r="C13" s="10"/>
      <c r="D13" s="10"/>
    </row>
    <row r="14" customFormat="false" ht="37.5" hidden="false" customHeight="true" outlineLevel="0" collapsed="false">
      <c r="A14" s="3" t="s">
        <v>368</v>
      </c>
      <c r="B14" s="10"/>
      <c r="C14" s="10"/>
      <c r="D14" s="10"/>
    </row>
  </sheetData>
  <mergeCells count="12">
    <mergeCell ref="A1:D1"/>
    <mergeCell ref="A2:D2"/>
    <mergeCell ref="B4:D4"/>
    <mergeCell ref="B5:D5"/>
    <mergeCell ref="B6:D6"/>
    <mergeCell ref="B7:D7"/>
    <mergeCell ref="B8:D8"/>
    <mergeCell ref="A10:D10"/>
    <mergeCell ref="B11:D11"/>
    <mergeCell ref="B12:D12"/>
    <mergeCell ref="B13:D13"/>
    <mergeCell ref="B14:D14"/>
  </mergeCells>
  <dataValidations count="1">
    <dataValidation allowBlank="true" errorStyle="stop" operator="between" showDropDown="false" showErrorMessage="false" showInputMessage="false" sqref="B4:D4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5" min="4" style="0" width="50"/>
  </cols>
  <sheetData>
    <row r="1" customFormat="false" ht="27.75" hidden="false" customHeight="true" outlineLevel="0" collapsed="false">
      <c r="A1" s="20" t="s">
        <v>369</v>
      </c>
      <c r="B1" s="20"/>
      <c r="C1" s="20"/>
      <c r="D1" s="20"/>
      <c r="E1" s="20"/>
    </row>
    <row r="2" customFormat="false" ht="31.5" hidden="false" customHeight="true" outlineLevel="0" collapsed="false">
      <c r="A2" s="8" t="s">
        <v>370</v>
      </c>
      <c r="B2" s="8"/>
      <c r="C2" s="8"/>
      <c r="D2" s="8"/>
      <c r="E2" s="8"/>
    </row>
    <row r="4" customFormat="false" ht="15" hidden="false" customHeight="false" outlineLevel="0" collapsed="false">
      <c r="A4" s="21" t="s">
        <v>103</v>
      </c>
      <c r="B4" s="21" t="s">
        <v>371</v>
      </c>
      <c r="C4" s="21" t="s">
        <v>372</v>
      </c>
      <c r="D4" s="21" t="s">
        <v>373</v>
      </c>
      <c r="E4" s="21" t="s">
        <v>374</v>
      </c>
    </row>
    <row r="5" customFormat="false" ht="60" hidden="false" customHeight="true" outlineLevel="0" collapsed="false">
      <c r="A5" s="14" t="s">
        <v>106</v>
      </c>
      <c r="B5" s="22" t="s">
        <v>375</v>
      </c>
      <c r="C5" s="22" t="s">
        <v>376</v>
      </c>
      <c r="D5" s="22" t="s">
        <v>377</v>
      </c>
      <c r="E5" s="22" t="s">
        <v>378</v>
      </c>
    </row>
    <row r="6" customFormat="false" ht="60" hidden="false" customHeight="true" outlineLevel="0" collapsed="false">
      <c r="A6" s="14" t="s">
        <v>109</v>
      </c>
      <c r="B6" s="22" t="s">
        <v>379</v>
      </c>
      <c r="C6" s="22" t="s">
        <v>380</v>
      </c>
      <c r="D6" s="22" t="s">
        <v>381</v>
      </c>
      <c r="E6" s="22" t="s">
        <v>382</v>
      </c>
    </row>
    <row r="7" customFormat="false" ht="60" hidden="false" customHeight="true" outlineLevel="0" collapsed="false">
      <c r="A7" s="14" t="s">
        <v>112</v>
      </c>
      <c r="B7" s="22" t="s">
        <v>383</v>
      </c>
      <c r="C7" s="22" t="s">
        <v>384</v>
      </c>
      <c r="D7" s="22" t="s">
        <v>385</v>
      </c>
      <c r="E7" s="22" t="s">
        <v>386</v>
      </c>
    </row>
    <row r="8" customFormat="false" ht="60" hidden="false" customHeight="true" outlineLevel="0" collapsed="false">
      <c r="A8" s="14" t="s">
        <v>115</v>
      </c>
      <c r="B8" s="22" t="s">
        <v>387</v>
      </c>
      <c r="C8" s="22" t="s">
        <v>388</v>
      </c>
      <c r="D8" s="22" t="s">
        <v>389</v>
      </c>
      <c r="E8" s="22" t="s">
        <v>390</v>
      </c>
    </row>
    <row r="9" customFormat="false" ht="60" hidden="false" customHeight="true" outlineLevel="0" collapsed="false">
      <c r="A9" s="14" t="s">
        <v>118</v>
      </c>
      <c r="B9" s="22" t="s">
        <v>391</v>
      </c>
      <c r="C9" s="22" t="s">
        <v>392</v>
      </c>
      <c r="D9" s="22" t="s">
        <v>393</v>
      </c>
      <c r="E9" s="22" t="s">
        <v>394</v>
      </c>
    </row>
    <row r="10" customFormat="false" ht="60" hidden="false" customHeight="true" outlineLevel="0" collapsed="false">
      <c r="A10" s="14" t="s">
        <v>121</v>
      </c>
      <c r="B10" s="22" t="s">
        <v>395</v>
      </c>
      <c r="C10" s="22" t="s">
        <v>396</v>
      </c>
      <c r="D10" s="22" t="s">
        <v>397</v>
      </c>
      <c r="E10" s="22" t="s">
        <v>398</v>
      </c>
    </row>
    <row r="11" customFormat="false" ht="60" hidden="false" customHeight="true" outlineLevel="0" collapsed="false">
      <c r="A11" s="14" t="s">
        <v>124</v>
      </c>
      <c r="B11" s="22" t="s">
        <v>399</v>
      </c>
      <c r="C11" s="22" t="s">
        <v>400</v>
      </c>
      <c r="D11" s="22" t="s">
        <v>401</v>
      </c>
      <c r="E11" s="22" t="s">
        <v>402</v>
      </c>
    </row>
    <row r="12" customFormat="false" ht="60" hidden="false" customHeight="true" outlineLevel="0" collapsed="false">
      <c r="A12" s="14" t="s">
        <v>127</v>
      </c>
      <c r="B12" s="22" t="s">
        <v>403</v>
      </c>
      <c r="C12" s="22" t="s">
        <v>404</v>
      </c>
      <c r="D12" s="22" t="s">
        <v>405</v>
      </c>
      <c r="E12" s="22" t="s">
        <v>406</v>
      </c>
    </row>
    <row r="13" customFormat="false" ht="60" hidden="false" customHeight="true" outlineLevel="0" collapsed="false">
      <c r="A13" s="14" t="s">
        <v>130</v>
      </c>
      <c r="B13" s="22" t="s">
        <v>407</v>
      </c>
      <c r="C13" s="22" t="s">
        <v>408</v>
      </c>
      <c r="D13" s="22" t="s">
        <v>409</v>
      </c>
      <c r="E13" s="22" t="s">
        <v>410</v>
      </c>
    </row>
    <row r="14" customFormat="false" ht="60" hidden="false" customHeight="true" outlineLevel="0" collapsed="false">
      <c r="A14" s="14" t="s">
        <v>133</v>
      </c>
      <c r="B14" s="22" t="s">
        <v>411</v>
      </c>
      <c r="C14" s="22" t="s">
        <v>412</v>
      </c>
      <c r="D14" s="22" t="s">
        <v>413</v>
      </c>
      <c r="E14" s="22" t="s">
        <v>414</v>
      </c>
    </row>
    <row r="15" customFormat="false" ht="60" hidden="false" customHeight="true" outlineLevel="0" collapsed="false">
      <c r="A15" s="14" t="s">
        <v>136</v>
      </c>
      <c r="B15" s="22" t="s">
        <v>415</v>
      </c>
      <c r="C15" s="22" t="s">
        <v>416</v>
      </c>
      <c r="D15" s="22" t="s">
        <v>417</v>
      </c>
      <c r="E15" s="22" t="s">
        <v>418</v>
      </c>
    </row>
    <row r="16" customFormat="false" ht="60" hidden="false" customHeight="true" outlineLevel="0" collapsed="false">
      <c r="A16" s="14" t="s">
        <v>139</v>
      </c>
      <c r="B16" s="22" t="s">
        <v>419</v>
      </c>
      <c r="C16" s="22" t="s">
        <v>420</v>
      </c>
      <c r="D16" s="22" t="s">
        <v>421</v>
      </c>
      <c r="E16" s="22" t="s">
        <v>422</v>
      </c>
    </row>
    <row r="17" customFormat="false" ht="60" hidden="false" customHeight="true" outlineLevel="0" collapsed="false">
      <c r="A17" s="14" t="s">
        <v>142</v>
      </c>
      <c r="B17" s="22" t="s">
        <v>423</v>
      </c>
      <c r="C17" s="22" t="s">
        <v>424</v>
      </c>
      <c r="D17" s="22" t="s">
        <v>425</v>
      </c>
      <c r="E17" s="22" t="s">
        <v>426</v>
      </c>
    </row>
    <row r="18" customFormat="false" ht="60" hidden="false" customHeight="true" outlineLevel="0" collapsed="false">
      <c r="A18" s="14" t="s">
        <v>145</v>
      </c>
      <c r="B18" s="22" t="s">
        <v>427</v>
      </c>
      <c r="C18" s="22" t="s">
        <v>428</v>
      </c>
      <c r="D18" s="22" t="s">
        <v>429</v>
      </c>
      <c r="E18" s="22" t="s">
        <v>430</v>
      </c>
    </row>
    <row r="19" customFormat="false" ht="60" hidden="false" customHeight="true" outlineLevel="0" collapsed="false">
      <c r="A19" s="14" t="s">
        <v>148</v>
      </c>
      <c r="B19" s="22" t="s">
        <v>431</v>
      </c>
      <c r="C19" s="22" t="s">
        <v>432</v>
      </c>
      <c r="D19" s="22" t="s">
        <v>433</v>
      </c>
      <c r="E19" s="22" t="s">
        <v>434</v>
      </c>
    </row>
    <row r="20" customFormat="false" ht="60" hidden="false" customHeight="true" outlineLevel="0" collapsed="false">
      <c r="A20" s="14" t="s">
        <v>151</v>
      </c>
      <c r="B20" s="22" t="s">
        <v>435</v>
      </c>
      <c r="C20" s="22" t="s">
        <v>436</v>
      </c>
      <c r="D20" s="22" t="s">
        <v>437</v>
      </c>
      <c r="E20" s="22" t="s">
        <v>438</v>
      </c>
    </row>
    <row r="21" customFormat="false" ht="60" hidden="false" customHeight="true" outlineLevel="0" collapsed="false">
      <c r="A21" s="14" t="s">
        <v>154</v>
      </c>
      <c r="B21" s="22" t="s">
        <v>439</v>
      </c>
      <c r="C21" s="22" t="s">
        <v>440</v>
      </c>
      <c r="D21" s="22" t="s">
        <v>441</v>
      </c>
      <c r="E21" s="22" t="s">
        <v>442</v>
      </c>
    </row>
    <row r="22" customFormat="false" ht="60" hidden="false" customHeight="true" outlineLevel="0" collapsed="false">
      <c r="A22" s="14" t="s">
        <v>157</v>
      </c>
      <c r="B22" s="22" t="s">
        <v>443</v>
      </c>
      <c r="C22" s="22" t="s">
        <v>444</v>
      </c>
      <c r="D22" s="22" t="s">
        <v>445</v>
      </c>
      <c r="E22" s="22" t="s">
        <v>446</v>
      </c>
    </row>
    <row r="23" customFormat="false" ht="60" hidden="false" customHeight="true" outlineLevel="0" collapsed="false">
      <c r="A23" s="14" t="s">
        <v>160</v>
      </c>
      <c r="B23" s="22" t="s">
        <v>447</v>
      </c>
      <c r="C23" s="22" t="s">
        <v>448</v>
      </c>
      <c r="D23" s="22" t="s">
        <v>449</v>
      </c>
      <c r="E23" s="22" t="s">
        <v>450</v>
      </c>
    </row>
    <row r="24" customFormat="false" ht="60" hidden="false" customHeight="true" outlineLevel="0" collapsed="false">
      <c r="A24" s="14" t="s">
        <v>163</v>
      </c>
      <c r="B24" s="22" t="s">
        <v>451</v>
      </c>
      <c r="C24" s="22" t="s">
        <v>452</v>
      </c>
      <c r="D24" s="22" t="s">
        <v>453</v>
      </c>
      <c r="E24" s="22" t="s">
        <v>454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55"/>
    <col collapsed="false" customWidth="true" hidden="false" outlineLevel="0" max="5" min="5" style="0" width="25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20" t="s">
        <v>455</v>
      </c>
      <c r="B1" s="20"/>
      <c r="C1" s="20"/>
      <c r="D1" s="20"/>
      <c r="E1" s="20"/>
      <c r="F1" s="20"/>
    </row>
    <row r="2" customFormat="false" ht="31.5" hidden="false" customHeight="true" outlineLevel="0" collapsed="false">
      <c r="A2" s="8" t="s">
        <v>456</v>
      </c>
      <c r="B2" s="8"/>
      <c r="C2" s="8"/>
      <c r="D2" s="8"/>
      <c r="E2" s="8"/>
      <c r="F2" s="8"/>
    </row>
    <row r="4" customFormat="false" ht="26.85" hidden="false" customHeight="false" outlineLevel="0" collapsed="false">
      <c r="A4" s="21" t="s">
        <v>103</v>
      </c>
      <c r="B4" s="21" t="s">
        <v>457</v>
      </c>
      <c r="C4" s="21" t="s">
        <v>458</v>
      </c>
      <c r="D4" s="21" t="s">
        <v>459</v>
      </c>
      <c r="E4" s="21" t="s">
        <v>460</v>
      </c>
      <c r="F4" s="21" t="s">
        <v>461</v>
      </c>
    </row>
    <row r="5" customFormat="false" ht="48" hidden="false" customHeight="true" outlineLevel="0" collapsed="false">
      <c r="A5" s="14" t="s">
        <v>462</v>
      </c>
      <c r="B5" s="23" t="s">
        <v>463</v>
      </c>
      <c r="C5" s="24" t="s">
        <v>464</v>
      </c>
      <c r="D5" s="22" t="s">
        <v>465</v>
      </c>
      <c r="E5" s="23" t="s">
        <v>466</v>
      </c>
      <c r="F5" s="25" t="s">
        <v>467</v>
      </c>
    </row>
    <row r="6" customFormat="false" ht="48" hidden="false" customHeight="true" outlineLevel="0" collapsed="false">
      <c r="A6" s="14" t="s">
        <v>468</v>
      </c>
      <c r="B6" s="23" t="s">
        <v>463</v>
      </c>
      <c r="C6" s="24" t="s">
        <v>469</v>
      </c>
      <c r="D6" s="22" t="s">
        <v>470</v>
      </c>
      <c r="E6" s="23" t="s">
        <v>466</v>
      </c>
      <c r="F6" s="25" t="s">
        <v>467</v>
      </c>
    </row>
    <row r="7" customFormat="false" ht="48" hidden="false" customHeight="true" outlineLevel="0" collapsed="false">
      <c r="A7" s="14" t="s">
        <v>471</v>
      </c>
      <c r="B7" s="23" t="s">
        <v>463</v>
      </c>
      <c r="C7" s="24" t="s">
        <v>472</v>
      </c>
      <c r="D7" s="22" t="s">
        <v>473</v>
      </c>
      <c r="E7" s="23" t="s">
        <v>466</v>
      </c>
      <c r="F7" s="25" t="s">
        <v>467</v>
      </c>
    </row>
    <row r="8" customFormat="false" ht="48" hidden="false" customHeight="true" outlineLevel="0" collapsed="false">
      <c r="A8" s="14" t="s">
        <v>474</v>
      </c>
      <c r="B8" s="23" t="s">
        <v>463</v>
      </c>
      <c r="C8" s="24" t="s">
        <v>475</v>
      </c>
      <c r="D8" s="22" t="s">
        <v>476</v>
      </c>
      <c r="E8" s="23" t="s">
        <v>477</v>
      </c>
      <c r="F8" s="25" t="s">
        <v>467</v>
      </c>
    </row>
    <row r="9" customFormat="false" ht="48" hidden="false" customHeight="true" outlineLevel="0" collapsed="false">
      <c r="A9" s="14" t="s">
        <v>478</v>
      </c>
      <c r="B9" s="23" t="s">
        <v>479</v>
      </c>
      <c r="C9" s="24" t="s">
        <v>178</v>
      </c>
      <c r="D9" s="22" t="s">
        <v>480</v>
      </c>
      <c r="E9" s="23" t="s">
        <v>481</v>
      </c>
      <c r="F9" s="25" t="s">
        <v>482</v>
      </c>
    </row>
    <row r="10" customFormat="false" ht="48" hidden="false" customHeight="true" outlineLevel="0" collapsed="false">
      <c r="A10" s="14" t="s">
        <v>483</v>
      </c>
      <c r="B10" s="23" t="s">
        <v>479</v>
      </c>
      <c r="C10" s="24" t="s">
        <v>484</v>
      </c>
      <c r="D10" s="22" t="s">
        <v>485</v>
      </c>
      <c r="E10" s="23" t="s">
        <v>486</v>
      </c>
      <c r="F10" s="25" t="s">
        <v>467</v>
      </c>
    </row>
    <row r="11" customFormat="false" ht="48" hidden="false" customHeight="true" outlineLevel="0" collapsed="false">
      <c r="A11" s="14" t="s">
        <v>487</v>
      </c>
      <c r="B11" s="23" t="s">
        <v>479</v>
      </c>
      <c r="C11" s="24" t="s">
        <v>488</v>
      </c>
      <c r="D11" s="22" t="s">
        <v>489</v>
      </c>
      <c r="E11" s="23" t="s">
        <v>490</v>
      </c>
      <c r="F11" s="25" t="s">
        <v>482</v>
      </c>
    </row>
    <row r="12" customFormat="false" ht="48" hidden="false" customHeight="true" outlineLevel="0" collapsed="false">
      <c r="A12" s="14" t="s">
        <v>491</v>
      </c>
      <c r="B12" s="23" t="s">
        <v>479</v>
      </c>
      <c r="C12" s="24" t="s">
        <v>492</v>
      </c>
      <c r="D12" s="22" t="s">
        <v>493</v>
      </c>
      <c r="E12" s="23" t="s">
        <v>494</v>
      </c>
      <c r="F12" s="25" t="s">
        <v>467</v>
      </c>
    </row>
    <row r="13" customFormat="false" ht="48" hidden="false" customHeight="true" outlineLevel="0" collapsed="false">
      <c r="A13" s="14" t="s">
        <v>495</v>
      </c>
      <c r="B13" s="23" t="s">
        <v>479</v>
      </c>
      <c r="C13" s="24" t="s">
        <v>496</v>
      </c>
      <c r="D13" s="22" t="s">
        <v>497</v>
      </c>
      <c r="E13" s="23" t="s">
        <v>498</v>
      </c>
      <c r="F13" s="25" t="s">
        <v>467</v>
      </c>
    </row>
    <row r="14" customFormat="false" ht="48" hidden="false" customHeight="true" outlineLevel="0" collapsed="false">
      <c r="A14" s="14" t="s">
        <v>499</v>
      </c>
      <c r="B14" s="23" t="s">
        <v>500</v>
      </c>
      <c r="C14" s="24" t="s">
        <v>501</v>
      </c>
      <c r="D14" s="22" t="s">
        <v>502</v>
      </c>
      <c r="E14" s="23" t="s">
        <v>498</v>
      </c>
      <c r="F14" s="25" t="s">
        <v>482</v>
      </c>
    </row>
    <row r="15" customFormat="false" ht="48" hidden="false" customHeight="true" outlineLevel="0" collapsed="false">
      <c r="A15" s="14" t="s">
        <v>503</v>
      </c>
      <c r="B15" s="23" t="s">
        <v>504</v>
      </c>
      <c r="C15" s="24" t="s">
        <v>505</v>
      </c>
      <c r="D15" s="22" t="s">
        <v>506</v>
      </c>
      <c r="E15" s="23" t="s">
        <v>507</v>
      </c>
      <c r="F15" s="25" t="s">
        <v>482</v>
      </c>
    </row>
    <row r="16" customFormat="false" ht="48" hidden="false" customHeight="true" outlineLevel="0" collapsed="false">
      <c r="A16" s="14" t="s">
        <v>508</v>
      </c>
      <c r="B16" s="23" t="s">
        <v>504</v>
      </c>
      <c r="C16" s="24" t="s">
        <v>509</v>
      </c>
      <c r="D16" s="22" t="s">
        <v>510</v>
      </c>
      <c r="E16" s="23" t="s">
        <v>511</v>
      </c>
      <c r="F16" s="25" t="s">
        <v>512</v>
      </c>
    </row>
    <row r="17" customFormat="false" ht="48" hidden="false" customHeight="true" outlineLevel="0" collapsed="false">
      <c r="A17" s="14" t="s">
        <v>513</v>
      </c>
      <c r="B17" s="23" t="s">
        <v>514</v>
      </c>
      <c r="C17" s="24" t="s">
        <v>515</v>
      </c>
      <c r="D17" s="22" t="s">
        <v>516</v>
      </c>
      <c r="E17" s="23" t="s">
        <v>517</v>
      </c>
      <c r="F17" s="25" t="s">
        <v>517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20" t="s">
        <v>518</v>
      </c>
      <c r="B1" s="20"/>
      <c r="C1" s="20"/>
      <c r="D1" s="20"/>
    </row>
    <row r="2" customFormat="false" ht="31.5" hidden="false" customHeight="true" outlineLevel="0" collapsed="false">
      <c r="A2" s="8" t="s">
        <v>519</v>
      </c>
      <c r="B2" s="8"/>
      <c r="C2" s="8"/>
      <c r="D2" s="8"/>
    </row>
    <row r="4" customFormat="false" ht="15" hidden="false" customHeight="false" outlineLevel="0" collapsed="false">
      <c r="A4" s="21" t="s">
        <v>103</v>
      </c>
      <c r="B4" s="21" t="s">
        <v>520</v>
      </c>
      <c r="C4" s="21" t="s">
        <v>182</v>
      </c>
      <c r="D4" s="21" t="s">
        <v>459</v>
      </c>
    </row>
    <row r="5" customFormat="false" ht="39.75" hidden="false" customHeight="true" outlineLevel="0" collapsed="false">
      <c r="A5" s="14" t="s">
        <v>183</v>
      </c>
      <c r="B5" s="23" t="s">
        <v>521</v>
      </c>
      <c r="C5" s="24" t="s">
        <v>184</v>
      </c>
      <c r="D5" s="22" t="s">
        <v>522</v>
      </c>
    </row>
    <row r="6" customFormat="false" ht="39.75" hidden="false" customHeight="true" outlineLevel="0" collapsed="false">
      <c r="A6" s="14" t="s">
        <v>185</v>
      </c>
      <c r="B6" s="23" t="s">
        <v>521</v>
      </c>
      <c r="C6" s="24" t="s">
        <v>186</v>
      </c>
      <c r="D6" s="22" t="s">
        <v>523</v>
      </c>
    </row>
    <row r="7" customFormat="false" ht="39.75" hidden="false" customHeight="true" outlineLevel="0" collapsed="false">
      <c r="A7" s="14" t="s">
        <v>187</v>
      </c>
      <c r="B7" s="23" t="s">
        <v>524</v>
      </c>
      <c r="C7" s="24" t="s">
        <v>188</v>
      </c>
      <c r="D7" s="22" t="s">
        <v>525</v>
      </c>
    </row>
    <row r="8" customFormat="false" ht="39.75" hidden="false" customHeight="true" outlineLevel="0" collapsed="false">
      <c r="A8" s="14" t="s">
        <v>189</v>
      </c>
      <c r="B8" s="23" t="s">
        <v>524</v>
      </c>
      <c r="C8" s="24" t="s">
        <v>190</v>
      </c>
      <c r="D8" s="22" t="s">
        <v>526</v>
      </c>
    </row>
    <row r="9" customFormat="false" ht="39.75" hidden="false" customHeight="true" outlineLevel="0" collapsed="false">
      <c r="A9" s="14" t="s">
        <v>191</v>
      </c>
      <c r="B9" s="23" t="s">
        <v>524</v>
      </c>
      <c r="C9" s="24" t="s">
        <v>192</v>
      </c>
      <c r="D9" s="22" t="s">
        <v>527</v>
      </c>
    </row>
    <row r="10" customFormat="false" ht="39.75" hidden="false" customHeight="true" outlineLevel="0" collapsed="false">
      <c r="A10" s="14" t="s">
        <v>193</v>
      </c>
      <c r="B10" s="23" t="s">
        <v>524</v>
      </c>
      <c r="C10" s="24" t="s">
        <v>194</v>
      </c>
      <c r="D10" s="22" t="s">
        <v>528</v>
      </c>
    </row>
    <row r="11" customFormat="false" ht="39.75" hidden="false" customHeight="true" outlineLevel="0" collapsed="false">
      <c r="A11" s="14" t="s">
        <v>195</v>
      </c>
      <c r="B11" s="23" t="s">
        <v>524</v>
      </c>
      <c r="C11" s="24" t="s">
        <v>196</v>
      </c>
      <c r="D11" s="22" t="s">
        <v>529</v>
      </c>
    </row>
    <row r="12" customFormat="false" ht="39.75" hidden="false" customHeight="true" outlineLevel="0" collapsed="false">
      <c r="A12" s="14" t="s">
        <v>197</v>
      </c>
      <c r="B12" s="23" t="s">
        <v>530</v>
      </c>
      <c r="C12" s="24" t="s">
        <v>198</v>
      </c>
      <c r="D12" s="22" t="s">
        <v>531</v>
      </c>
    </row>
    <row r="13" customFormat="false" ht="39.75" hidden="false" customHeight="true" outlineLevel="0" collapsed="false">
      <c r="A13" s="14" t="s">
        <v>199</v>
      </c>
      <c r="B13" s="23" t="s">
        <v>530</v>
      </c>
      <c r="C13" s="24" t="s">
        <v>200</v>
      </c>
      <c r="D13" s="22" t="s">
        <v>532</v>
      </c>
    </row>
    <row r="14" customFormat="false" ht="39.75" hidden="false" customHeight="true" outlineLevel="0" collapsed="false">
      <c r="A14" s="14" t="s">
        <v>201</v>
      </c>
      <c r="B14" s="23" t="s">
        <v>530</v>
      </c>
      <c r="C14" s="24" t="s">
        <v>202</v>
      </c>
      <c r="D14" s="22" t="s">
        <v>533</v>
      </c>
    </row>
    <row r="15" customFormat="false" ht="39.75" hidden="false" customHeight="true" outlineLevel="0" collapsed="false">
      <c r="A15" s="14" t="s">
        <v>203</v>
      </c>
      <c r="B15" s="23" t="s">
        <v>534</v>
      </c>
      <c r="C15" s="24" t="s">
        <v>204</v>
      </c>
      <c r="D15" s="22" t="s">
        <v>535</v>
      </c>
    </row>
    <row r="16" customFormat="false" ht="39.75" hidden="false" customHeight="true" outlineLevel="0" collapsed="false">
      <c r="A16" s="14" t="s">
        <v>205</v>
      </c>
      <c r="B16" s="23" t="s">
        <v>534</v>
      </c>
      <c r="C16" s="24" t="s">
        <v>206</v>
      </c>
      <c r="D16" s="22" t="s">
        <v>536</v>
      </c>
    </row>
    <row r="17" customFormat="false" ht="39.75" hidden="false" customHeight="true" outlineLevel="0" collapsed="false">
      <c r="A17" s="14" t="s">
        <v>207</v>
      </c>
      <c r="B17" s="23" t="s">
        <v>534</v>
      </c>
      <c r="C17" s="24" t="s">
        <v>208</v>
      </c>
      <c r="D17" s="22" t="s">
        <v>537</v>
      </c>
    </row>
    <row r="18" customFormat="false" ht="39.75" hidden="false" customHeight="true" outlineLevel="0" collapsed="false">
      <c r="A18" s="14" t="s">
        <v>209</v>
      </c>
      <c r="B18" s="23" t="s">
        <v>538</v>
      </c>
      <c r="C18" s="24" t="s">
        <v>210</v>
      </c>
      <c r="D18" s="22" t="s">
        <v>539</v>
      </c>
    </row>
    <row r="19" customFormat="false" ht="39.75" hidden="false" customHeight="true" outlineLevel="0" collapsed="false">
      <c r="A19" s="14" t="s">
        <v>211</v>
      </c>
      <c r="B19" s="23" t="s">
        <v>538</v>
      </c>
      <c r="C19" s="24" t="s">
        <v>212</v>
      </c>
      <c r="D19" s="22" t="s">
        <v>540</v>
      </c>
    </row>
    <row r="20" customFormat="false" ht="39.75" hidden="false" customHeight="true" outlineLevel="0" collapsed="false">
      <c r="A20" s="14" t="s">
        <v>213</v>
      </c>
      <c r="B20" s="23" t="s">
        <v>541</v>
      </c>
      <c r="C20" s="24" t="s">
        <v>214</v>
      </c>
      <c r="D20" s="22" t="s">
        <v>542</v>
      </c>
    </row>
    <row r="21" customFormat="false" ht="39.75" hidden="false" customHeight="true" outlineLevel="0" collapsed="false">
      <c r="A21" s="14" t="s">
        <v>215</v>
      </c>
      <c r="B21" s="23" t="s">
        <v>541</v>
      </c>
      <c r="C21" s="24" t="s">
        <v>216</v>
      </c>
      <c r="D21" s="22" t="s">
        <v>543</v>
      </c>
    </row>
    <row r="22" customFormat="false" ht="39.75" hidden="false" customHeight="true" outlineLevel="0" collapsed="false">
      <c r="A22" s="14" t="s">
        <v>217</v>
      </c>
      <c r="B22" s="23" t="s">
        <v>541</v>
      </c>
      <c r="C22" s="24" t="s">
        <v>218</v>
      </c>
      <c r="D22" s="22" t="s">
        <v>544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27.75" hidden="false" customHeight="true" outlineLevel="0" collapsed="false">
      <c r="A1" s="20" t="s">
        <v>545</v>
      </c>
      <c r="B1" s="20"/>
      <c r="C1" s="20"/>
    </row>
    <row r="2" customFormat="false" ht="24" hidden="false" customHeight="true" outlineLevel="0" collapsed="false">
      <c r="A2" s="8" t="s">
        <v>546</v>
      </c>
      <c r="B2" s="8"/>
      <c r="C2" s="8"/>
    </row>
    <row r="4" customFormat="false" ht="15" hidden="false" customHeight="false" outlineLevel="0" collapsed="false">
      <c r="A4" s="21" t="s">
        <v>40</v>
      </c>
      <c r="B4" s="21" t="s">
        <v>547</v>
      </c>
      <c r="C4" s="21" t="s">
        <v>548</v>
      </c>
    </row>
    <row r="5" customFormat="false" ht="24" hidden="false" customHeight="true" outlineLevel="0" collapsed="false">
      <c r="A5" s="14" t="s">
        <v>95</v>
      </c>
      <c r="B5" s="24" t="s">
        <v>549</v>
      </c>
      <c r="C5" s="23" t="s">
        <v>550</v>
      </c>
    </row>
    <row r="6" customFormat="false" ht="24" hidden="false" customHeight="true" outlineLevel="0" collapsed="false">
      <c r="A6" s="14" t="s">
        <v>96</v>
      </c>
      <c r="B6" s="24" t="s">
        <v>551</v>
      </c>
      <c r="C6" s="23" t="s">
        <v>552</v>
      </c>
    </row>
    <row r="7" customFormat="false" ht="24" hidden="false" customHeight="true" outlineLevel="0" collapsed="false">
      <c r="A7" s="14" t="s">
        <v>97</v>
      </c>
      <c r="B7" s="24" t="s">
        <v>553</v>
      </c>
      <c r="C7" s="23" t="s">
        <v>554</v>
      </c>
    </row>
    <row r="8" customFormat="false" ht="24" hidden="false" customHeight="true" outlineLevel="0" collapsed="false">
      <c r="A8" s="14" t="s">
        <v>98</v>
      </c>
      <c r="B8" s="24" t="s">
        <v>555</v>
      </c>
      <c r="C8" s="23" t="s">
        <v>556</v>
      </c>
    </row>
    <row r="9" customFormat="false" ht="24" hidden="false" customHeight="true" outlineLevel="0" collapsed="false">
      <c r="A9" s="14" t="s">
        <v>99</v>
      </c>
      <c r="B9" s="24" t="s">
        <v>557</v>
      </c>
      <c r="C9" s="23" t="s">
        <v>558</v>
      </c>
    </row>
    <row r="10" customFormat="false" ht="24" hidden="false" customHeight="true" outlineLevel="0" collapsed="false">
      <c r="A10" s="14" t="s">
        <v>559</v>
      </c>
      <c r="B10" s="24" t="s">
        <v>560</v>
      </c>
      <c r="C10" s="23" t="s">
        <v>561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45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20" t="s">
        <v>562</v>
      </c>
      <c r="B1" s="20"/>
      <c r="C1" s="20"/>
      <c r="D1" s="20"/>
    </row>
    <row r="2" customFormat="false" ht="24" hidden="false" customHeight="true" outlineLevel="0" collapsed="false">
      <c r="A2" s="8" t="s">
        <v>563</v>
      </c>
      <c r="B2" s="8"/>
      <c r="C2" s="8"/>
      <c r="D2" s="8"/>
    </row>
    <row r="4" customFormat="false" ht="15" hidden="false" customHeight="false" outlineLevel="0" collapsed="false">
      <c r="A4" s="21" t="s">
        <v>103</v>
      </c>
      <c r="B4" s="21" t="s">
        <v>564</v>
      </c>
      <c r="C4" s="21" t="s">
        <v>565</v>
      </c>
      <c r="D4" s="21" t="s">
        <v>459</v>
      </c>
    </row>
    <row r="5" customFormat="false" ht="49.5" hidden="false" customHeight="true" outlineLevel="0" collapsed="false">
      <c r="A5" s="14" t="s">
        <v>566</v>
      </c>
      <c r="B5" s="24" t="s">
        <v>567</v>
      </c>
      <c r="C5" s="22" t="s">
        <v>568</v>
      </c>
      <c r="D5" s="22" t="s">
        <v>569</v>
      </c>
    </row>
    <row r="6" customFormat="false" ht="49.5" hidden="false" customHeight="true" outlineLevel="0" collapsed="false">
      <c r="A6" s="14" t="s">
        <v>570</v>
      </c>
      <c r="B6" s="24" t="s">
        <v>21</v>
      </c>
      <c r="C6" s="22" t="s">
        <v>571</v>
      </c>
      <c r="D6" s="22" t="s">
        <v>572</v>
      </c>
    </row>
    <row r="7" customFormat="false" ht="49.5" hidden="false" customHeight="true" outlineLevel="0" collapsed="false">
      <c r="A7" s="14" t="s">
        <v>573</v>
      </c>
      <c r="B7" s="24" t="s">
        <v>23</v>
      </c>
      <c r="C7" s="22" t="s">
        <v>574</v>
      </c>
      <c r="D7" s="22" t="s">
        <v>575</v>
      </c>
    </row>
    <row r="8" customFormat="false" ht="49.5" hidden="false" customHeight="true" outlineLevel="0" collapsed="false">
      <c r="A8" s="14" t="s">
        <v>576</v>
      </c>
      <c r="B8" s="24" t="s">
        <v>25</v>
      </c>
      <c r="C8" s="22" t="s">
        <v>577</v>
      </c>
      <c r="D8" s="22" t="s">
        <v>578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5"/>
    <col collapsed="false" customWidth="true" hidden="false" outlineLevel="0" max="3" min="3" style="0" width="55"/>
  </cols>
  <sheetData>
    <row r="1" customFormat="false" ht="27.75" hidden="false" customHeight="true" outlineLevel="0" collapsed="false">
      <c r="A1" s="20" t="s">
        <v>579</v>
      </c>
      <c r="B1" s="20"/>
      <c r="C1" s="20"/>
    </row>
    <row r="2" customFormat="false" ht="24" hidden="false" customHeight="true" outlineLevel="0" collapsed="false">
      <c r="A2" s="8" t="s">
        <v>580</v>
      </c>
      <c r="B2" s="8"/>
      <c r="C2" s="8"/>
    </row>
    <row r="4" customFormat="false" ht="19.5" hidden="false" customHeight="true" outlineLevel="0" collapsed="false">
      <c r="A4" s="9" t="s">
        <v>581</v>
      </c>
      <c r="B4" s="9"/>
      <c r="C4" s="9"/>
    </row>
    <row r="5" customFormat="false" ht="15" hidden="false" customHeight="false" outlineLevel="0" collapsed="false">
      <c r="A5" s="21" t="s">
        <v>582</v>
      </c>
      <c r="B5" s="21" t="s">
        <v>583</v>
      </c>
      <c r="C5" s="21" t="s">
        <v>584</v>
      </c>
    </row>
    <row r="6" customFormat="false" ht="45" hidden="false" customHeight="true" outlineLevel="0" collapsed="false">
      <c r="A6" s="6" t="s">
        <v>585</v>
      </c>
      <c r="B6" s="22" t="s">
        <v>586</v>
      </c>
      <c r="C6" s="23" t="s">
        <v>587</v>
      </c>
    </row>
    <row r="7" customFormat="false" ht="45" hidden="false" customHeight="true" outlineLevel="0" collapsed="false">
      <c r="A7" s="6" t="s">
        <v>588</v>
      </c>
      <c r="B7" s="22" t="s">
        <v>589</v>
      </c>
      <c r="C7" s="23" t="s">
        <v>590</v>
      </c>
    </row>
    <row r="8" customFormat="false" ht="45" hidden="false" customHeight="true" outlineLevel="0" collapsed="false">
      <c r="A8" s="6" t="s">
        <v>591</v>
      </c>
      <c r="B8" s="22" t="s">
        <v>592</v>
      </c>
      <c r="C8" s="23" t="s">
        <v>593</v>
      </c>
    </row>
    <row r="9" customFormat="false" ht="45" hidden="false" customHeight="true" outlineLevel="0" collapsed="false">
      <c r="A9" s="6" t="s">
        <v>594</v>
      </c>
      <c r="B9" s="22" t="s">
        <v>595</v>
      </c>
      <c r="C9" s="23" t="s">
        <v>596</v>
      </c>
    </row>
    <row r="10" customFormat="false" ht="45" hidden="false" customHeight="true" outlineLevel="0" collapsed="false">
      <c r="A10" s="6" t="s">
        <v>597</v>
      </c>
      <c r="B10" s="22" t="s">
        <v>598</v>
      </c>
      <c r="C10" s="23" t="s">
        <v>599</v>
      </c>
    </row>
    <row r="11" customFormat="false" ht="45" hidden="false" customHeight="true" outlineLevel="0" collapsed="false">
      <c r="A11" s="6" t="s">
        <v>330</v>
      </c>
      <c r="B11" s="22" t="s">
        <v>600</v>
      </c>
      <c r="C11" s="23" t="s">
        <v>601</v>
      </c>
    </row>
    <row r="12" customFormat="false" ht="45" hidden="false" customHeight="true" outlineLevel="0" collapsed="false">
      <c r="A12" s="6" t="s">
        <v>602</v>
      </c>
      <c r="B12" s="22" t="s">
        <v>603</v>
      </c>
      <c r="C12" s="23" t="s">
        <v>604</v>
      </c>
    </row>
    <row r="13" customFormat="false" ht="45" hidden="false" customHeight="true" outlineLevel="0" collapsed="false">
      <c r="A13" s="6" t="s">
        <v>605</v>
      </c>
      <c r="B13" s="22" t="s">
        <v>606</v>
      </c>
      <c r="C13" s="23" t="s">
        <v>607</v>
      </c>
    </row>
    <row r="14" customFormat="false" ht="45" hidden="false" customHeight="true" outlineLevel="0" collapsed="false">
      <c r="A14" s="6" t="s">
        <v>608</v>
      </c>
      <c r="B14" s="22" t="s">
        <v>609</v>
      </c>
      <c r="C14" s="23" t="s">
        <v>610</v>
      </c>
    </row>
    <row r="15" customFormat="false" ht="45" hidden="false" customHeight="true" outlineLevel="0" collapsed="false">
      <c r="A15" s="6" t="s">
        <v>611</v>
      </c>
      <c r="B15" s="22" t="s">
        <v>612</v>
      </c>
      <c r="C15" s="23" t="s">
        <v>613</v>
      </c>
    </row>
    <row r="17" customFormat="false" ht="19.5" hidden="false" customHeight="true" outlineLevel="0" collapsed="false">
      <c r="A17" s="9" t="s">
        <v>614</v>
      </c>
      <c r="B17" s="9"/>
      <c r="C17" s="9"/>
    </row>
    <row r="18" customFormat="false" ht="15" hidden="false" customHeight="false" outlineLevel="0" collapsed="false">
      <c r="A18" s="21" t="s">
        <v>615</v>
      </c>
      <c r="B18" s="21" t="s">
        <v>616</v>
      </c>
      <c r="C18" s="21" t="s">
        <v>617</v>
      </c>
    </row>
    <row r="19" customFormat="false" ht="42" hidden="false" customHeight="true" outlineLevel="0" collapsed="false">
      <c r="A19" s="14" t="s">
        <v>618</v>
      </c>
      <c r="B19" s="24" t="s">
        <v>619</v>
      </c>
      <c r="C19" s="22" t="s">
        <v>620</v>
      </c>
    </row>
    <row r="20" customFormat="false" ht="42" hidden="false" customHeight="true" outlineLevel="0" collapsed="false">
      <c r="A20" s="14" t="s">
        <v>621</v>
      </c>
      <c r="B20" s="24" t="s">
        <v>622</v>
      </c>
      <c r="C20" s="22" t="s">
        <v>623</v>
      </c>
    </row>
    <row r="21" customFormat="false" ht="42" hidden="false" customHeight="true" outlineLevel="0" collapsed="false">
      <c r="A21" s="14" t="s">
        <v>624</v>
      </c>
      <c r="B21" s="24" t="s">
        <v>625</v>
      </c>
      <c r="C21" s="22" t="s">
        <v>626</v>
      </c>
    </row>
    <row r="22" customFormat="false" ht="42" hidden="false" customHeight="true" outlineLevel="0" collapsed="false">
      <c r="A22" s="14" t="s">
        <v>627</v>
      </c>
      <c r="B22" s="24" t="s">
        <v>628</v>
      </c>
      <c r="C22" s="22" t="s">
        <v>629</v>
      </c>
    </row>
    <row r="24" customFormat="false" ht="19.5" hidden="false" customHeight="true" outlineLevel="0" collapsed="false">
      <c r="A24" s="9" t="s">
        <v>630</v>
      </c>
      <c r="B24" s="9"/>
      <c r="C24" s="9"/>
    </row>
    <row r="25" customFormat="false" ht="15" hidden="false" customHeight="false" outlineLevel="0" collapsed="false">
      <c r="A25" s="21" t="s">
        <v>615</v>
      </c>
      <c r="B25" s="21" t="s">
        <v>583</v>
      </c>
      <c r="C25" s="21" t="s">
        <v>631</v>
      </c>
    </row>
    <row r="26" customFormat="false" ht="30" hidden="false" customHeight="true" outlineLevel="0" collapsed="false">
      <c r="A26" s="6" t="s">
        <v>632</v>
      </c>
      <c r="B26" s="23" t="s">
        <v>633</v>
      </c>
      <c r="C26" s="23" t="s">
        <v>634</v>
      </c>
    </row>
    <row r="27" customFormat="false" ht="30" hidden="false" customHeight="true" outlineLevel="0" collapsed="false">
      <c r="A27" s="6" t="s">
        <v>635</v>
      </c>
      <c r="B27" s="23" t="s">
        <v>636</v>
      </c>
      <c r="C27" s="23" t="s">
        <v>637</v>
      </c>
    </row>
    <row r="28" customFormat="false" ht="30" hidden="false" customHeight="true" outlineLevel="0" collapsed="false">
      <c r="A28" s="6" t="s">
        <v>32</v>
      </c>
      <c r="B28" s="23" t="s">
        <v>638</v>
      </c>
      <c r="C28" s="23" t="s">
        <v>639</v>
      </c>
    </row>
    <row r="29" customFormat="false" ht="30" hidden="false" customHeight="true" outlineLevel="0" collapsed="false">
      <c r="A29" s="6" t="s">
        <v>640</v>
      </c>
      <c r="B29" s="23" t="s">
        <v>641</v>
      </c>
      <c r="C29" s="23" t="s">
        <v>642</v>
      </c>
    </row>
    <row r="30" customFormat="false" ht="30" hidden="false" customHeight="true" outlineLevel="0" collapsed="false">
      <c r="A30" s="6" t="s">
        <v>643</v>
      </c>
      <c r="B30" s="23" t="s">
        <v>644</v>
      </c>
      <c r="C30" s="23" t="s">
        <v>645</v>
      </c>
    </row>
    <row r="31" customFormat="false" ht="30" hidden="false" customHeight="true" outlineLevel="0" collapsed="false">
      <c r="A31" s="6" t="s">
        <v>646</v>
      </c>
      <c r="B31" s="23" t="s">
        <v>647</v>
      </c>
      <c r="C31" s="23" t="s">
        <v>648</v>
      </c>
    </row>
    <row r="32" customFormat="false" ht="30" hidden="false" customHeight="true" outlineLevel="0" collapsed="false">
      <c r="A32" s="6" t="s">
        <v>649</v>
      </c>
      <c r="B32" s="23" t="s">
        <v>650</v>
      </c>
      <c r="C32" s="23" t="s">
        <v>651</v>
      </c>
    </row>
  </sheetData>
  <mergeCells count="5">
    <mergeCell ref="A1:C1"/>
    <mergeCell ref="A2:C2"/>
    <mergeCell ref="A4:C4"/>
    <mergeCell ref="A17:C17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2026-05-12T14:52:05Z</dcterms:created>
  <dc:creator>openpyxl</dc:creator>
  <dc:description/>
  <dc:language>en-US</dc:language>
  <cp:lastModifiedBy/>
  <dcterms:modified xsi:type="dcterms:W3CDTF">2026-05-12T14:52:06Z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